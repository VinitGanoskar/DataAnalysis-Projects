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2885411-C1FB-4900-B06C-361A42E2D3EF}" xr6:coauthVersionLast="47" xr6:coauthVersionMax="47" xr10:uidLastSave="{00000000-0000-0000-0000-000000000000}"/>
  <bookViews>
    <workbookView xWindow="-108" yWindow="-108" windowWidth="23256" windowHeight="13176" firstSheet="1" activeTab="2" xr2:uid="{4E8141B6-F2AC-4F58-8C8B-7BF53BA9FF58}"/>
  </bookViews>
  <sheets>
    <sheet name="cloudSense" sheetId="2" r:id="rId1"/>
    <sheet name="Sheet1" sheetId="1" r:id="rId2"/>
    <sheet name="Cloud_Sense_Clean" sheetId="3" r:id="rId3"/>
  </sheets>
  <definedNames>
    <definedName name="ExternalData_1" localSheetId="0" hidden="1">'cloudSense'!$A$1:$I$201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L3" i="2"/>
  <c r="L2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E829D8-200A-4A34-8258-D8E2074CBCF3}" keepAlive="1" name="Query - cloudSense" description="Connection to the 'cloudSense' query in the workbook." type="5" refreshedVersion="8" background="1" saveData="1">
    <dbPr connection="Provider=Microsoft.Mashup.OleDb.1;Data Source=$Workbook$;Location=cloudSense;Extended Properties=&quot;&quot;" command="SELECT * FROM [cloudSense]"/>
  </connection>
</connections>
</file>

<file path=xl/sharedStrings.xml><?xml version="1.0" encoding="utf-8"?>
<sst xmlns="http://schemas.openxmlformats.org/spreadsheetml/2006/main" count="1026" uniqueCount="30">
  <si>
    <t>record_id</t>
  </si>
  <si>
    <t>date</t>
  </si>
  <si>
    <t>service_name</t>
  </si>
  <si>
    <t>region</t>
  </si>
  <si>
    <t>cpu_usage_percent</t>
  </si>
  <si>
    <t>storage_gb</t>
  </si>
  <si>
    <t>allocated_cost</t>
  </si>
  <si>
    <t>actual_used_cost</t>
  </si>
  <si>
    <t>resource_status</t>
  </si>
  <si>
    <t>EC2</t>
  </si>
  <si>
    <t>us-east</t>
  </si>
  <si>
    <t>Idle</t>
  </si>
  <si>
    <t>S3</t>
  </si>
  <si>
    <t>us-west</t>
  </si>
  <si>
    <t>Active</t>
  </si>
  <si>
    <t>ec2</t>
  </si>
  <si>
    <t xml:space="preserve"> idle</t>
  </si>
  <si>
    <t>RDS</t>
  </si>
  <si>
    <t>eu-central</t>
  </si>
  <si>
    <t>Lambda</t>
  </si>
  <si>
    <t>asia-south</t>
  </si>
  <si>
    <t>EU-CENTRAL</t>
  </si>
  <si>
    <t>service_clean</t>
  </si>
  <si>
    <t>region_clean</t>
  </si>
  <si>
    <t>status_clean</t>
  </si>
  <si>
    <t>cpu_clean</t>
  </si>
  <si>
    <t>waste_cost</t>
  </si>
  <si>
    <t>waste_percent</t>
  </si>
  <si>
    <t>LAMBDA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</si>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</sst>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0" xfId="1" applyNumberFormat="1" applyFont="1"/>
    <xf numFmtId="2" fontId="0" fillId="0" borderId="0" xfId="1" applyNumberFormat="1" applyFont="1"/>
    <xf numFmtId="0" fontId="0" fillId="0" borderId="1" xfId="0" applyBorder="1"/>
    <xf numFmtId="0" fontId="0" fillId="0" borderId="2" xfId="0" applyBorder="1"/>
    <xf numFmtId="14" fontId="0" fillId="0" borderId="3" xfId="0" applyNumberFormat="1" applyBorder="1"/>
    <xf numFmtId="0" fontId="0" fillId="0" borderId="3" xfId="0" applyBorder="1"/>
    <xf numFmtId="2" fontId="0" fillId="0" borderId="3" xfId="1" applyNumberFormat="1" applyFont="1" applyBorder="1"/>
    <xf numFmtId="0" fontId="0" fillId="0" borderId="4" xfId="0" applyBorder="1"/>
    <xf numFmtId="0" fontId="0" fillId="0" borderId="5" xfId="0" applyBorder="1"/>
    <xf numFmtId="14" fontId="0" fillId="0" borderId="1" xfId="0" applyNumberFormat="1" applyBorder="1"/>
    <xf numFmtId="9" fontId="0" fillId="0" borderId="1" xfId="0" applyNumberFormat="1" applyBorder="1"/>
    <xf numFmtId="0" fontId="0" fillId="0" borderId="6" xfId="0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9" fontId="0" fillId="0" borderId="8" xfId="0" applyNumberFormat="1" applyBorder="1"/>
    <xf numFmtId="0" fontId="0" fillId="0" borderId="9" xfId="0" applyBorder="1"/>
  </cellXfs>
  <cellStyles count="2">
    <cellStyle name="Normal" xfId="0" builtinId="0"/>
    <cellStyle name="Percent" xfId="1" builtinId="5"/>
  </cellStyles>
  <dxfs count="25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D4CFEA-3210-4FE0-A0A1-5BF2F6BA42D7}" autoFormatId="16" applyNumberFormats="0" applyBorderFormats="0" applyFontFormats="0" applyPatternFormats="0" applyAlignmentFormats="0" applyWidthHeightFormats="0">
  <queryTableRefresh nextId="16" unboundColumnsRight="6">
    <queryTableFields count="15">
      <queryTableField id="1" name="record_id" tableColumnId="1"/>
      <queryTableField id="2" name="date" tableColumnId="2"/>
      <queryTableField id="3" name="service_name" tableColumnId="3"/>
      <queryTableField id="4" name="region" tableColumnId="4"/>
      <queryTableField id="5" name="cpu_usage_percent" tableColumnId="5"/>
      <queryTableField id="6" name="storage_gb" tableColumnId="6"/>
      <queryTableField id="7" name="allocated_cost" tableColumnId="7"/>
      <queryTableField id="8" name="actual_used_cost" tableColumnId="8"/>
      <queryTableField id="9" name="resource_status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1CB4CF-0A83-4F80-9CEE-D154AB003CD0}" name="cloudSense" displayName="cloudSense" ref="A1:O201" tableType="queryTable" totalsRowShown="0">
  <autoFilter ref="A1:O201" xr:uid="{121CB4CF-0A83-4F80-9CEE-D154AB003CD0}"/>
  <tableColumns count="15">
    <tableColumn id="1" xr3:uid="{B65FBC8C-4934-4241-B149-6D7FE0721296}" uniqueName="1" name="record_id" queryTableFieldId="1"/>
    <tableColumn id="2" xr3:uid="{5DE08480-0DDB-4871-9896-CEB57813F4F8}" uniqueName="2" name="date" queryTableFieldId="2" dataDxfId="24"/>
    <tableColumn id="3" xr3:uid="{B2CE79F4-72BA-4A73-91AD-FFCDFC9297B9}" uniqueName="3" name="service_name" queryTableFieldId="3" dataDxfId="23"/>
    <tableColumn id="4" xr3:uid="{CB20F62D-3CC2-4E34-8400-02752D32E0F5}" uniqueName="4" name="region" queryTableFieldId="4" dataDxfId="22"/>
    <tableColumn id="5" xr3:uid="{7461D848-8E7F-42C6-8E89-025F4A4383C7}" uniqueName="5" name="cpu_usage_percent" queryTableFieldId="5"/>
    <tableColumn id="6" xr3:uid="{DFC463BA-3D58-47AD-BA69-9EA28E60B109}" uniqueName="6" name="storage_gb" queryTableFieldId="6"/>
    <tableColumn id="7" xr3:uid="{F0E0617B-DDD2-480B-9793-E2E09822539F}" uniqueName="7" name="allocated_cost" queryTableFieldId="7"/>
    <tableColumn id="8" xr3:uid="{7F023BF7-2A6A-4A39-953A-3F07BACEAA4A}" uniqueName="8" name="actual_used_cost" queryTableFieldId="8"/>
    <tableColumn id="9" xr3:uid="{3BE9E0A8-D75E-41AB-B6CD-03EA0C6F0569}" uniqueName="9" name="resource_status" queryTableFieldId="9" dataDxfId="21"/>
    <tableColumn id="10" xr3:uid="{E374E3E2-54AE-4EAC-91D4-F280941204FE}" uniqueName="10" name="service_clean" queryTableFieldId="10" dataDxfId="20">
      <calculatedColumnFormula>UPPER(TRIM(cloudSense[[#This Row],[service_name]]))</calculatedColumnFormula>
    </tableColumn>
    <tableColumn id="11" xr3:uid="{BD7D406D-B595-403D-A206-CA8A6F8338D2}" uniqueName="11" name="region_clean" queryTableFieldId="11" dataDxfId="19">
      <calculatedColumnFormula>LOWER(TRIM(cloudSense[[#This Row],[region]]))</calculatedColumnFormula>
    </tableColumn>
    <tableColumn id="12" xr3:uid="{44546778-97AB-4D84-8A7D-85AAF3896493}" uniqueName="12" name="status_clean" queryTableFieldId="12" dataDxfId="18">
      <calculatedColumnFormula>PROPER(TRIM(cloudSense[[#This Row],[resource_status]]))</calculatedColumnFormula>
    </tableColumn>
    <tableColumn id="13" xr3:uid="{1C06201D-77F2-44A6-967F-A2248B67E8AC}" uniqueName="13" name="Column1" queryTableFieldId="13" dataDxfId="17">
      <calculatedColumnFormula>IF(E2="",AVERAGE($E$2:$E$201),E2)</calculatedColumnFormula>
    </tableColumn>
    <tableColumn id="14" xr3:uid="{5A069411-0072-4C65-A8D2-1BF03F2FF1B9}" uniqueName="14" name="waste_cost" queryTableFieldId="14" dataDxfId="16">
      <calculatedColumnFormula>cloudSense[[#This Row],[allocated_cost]]-cloudSense[[#This Row],[actual_used_cost]]</calculatedColumnFormula>
    </tableColumn>
    <tableColumn id="15" xr3:uid="{B788AAF3-C705-43A8-816A-2CE692C896AA}" uniqueName="15" name="waste_percent" queryTableFieldId="15" dataDxfId="15" dataCellStyle="Percent">
      <calculatedColumnFormula>(cloudSense[[#This Row],[allocated_cost]]-cloudSense[[#This Row],[actual_used_cost]])/cloudSense[[#This Row],[allocated_cost]]*100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0A8774-94A6-47F6-B497-B4D0DE4CCD0F}" name="Table2" displayName="Table2" ref="A1:K201" totalsRowShown="0" headerRowDxfId="0" headerRowBorderDxfId="13" tableBorderDxfId="14" totalsRowBorderDxfId="12">
  <autoFilter ref="A1:K201" xr:uid="{C90A8774-94A6-47F6-B497-B4D0DE4CCD0F}"/>
  <tableColumns count="11">
    <tableColumn id="1" xr3:uid="{15BDB985-380A-4FDF-9220-3AD9ACAADD27}" name="record_id" dataDxfId="11"/>
    <tableColumn id="2" xr3:uid="{82BE3281-8524-47A5-AA68-B23136E62B39}" name="date" dataDxfId="10"/>
    <tableColumn id="3" xr3:uid="{24FC77B8-A07B-4D50-BB83-633804E78090}" name="storage_gb" dataDxfId="9"/>
    <tableColumn id="4" xr3:uid="{2F2EF8BC-A9E4-47A6-90CF-375A41C80D5F}" name="allocated_cost" dataDxfId="8"/>
    <tableColumn id="5" xr3:uid="{0E653D38-D490-4879-AD2F-A89B36135D6A}" name="actual_used_cost" dataDxfId="7"/>
    <tableColumn id="6" xr3:uid="{CAAEEF2D-A852-43F7-955F-29AC5C05E586}" name="service_clean" dataDxfId="6"/>
    <tableColumn id="7" xr3:uid="{EBE9AE8C-337E-4C20-91F6-C3BBF29A97B9}" name="region_clean" dataDxfId="5"/>
    <tableColumn id="8" xr3:uid="{2BC2A9E8-15D4-4189-AE9B-CADC8ED23E91}" name="status_clean" dataDxfId="4">
      <calculatedColumnFormula>PROPER(TRIM(cloudSense[[#This Row],[resource_status]]))</calculatedColumnFormula>
    </tableColumn>
    <tableColumn id="9" xr3:uid="{A01C578D-CEF6-4398-A354-0DB25DF7FFA1}" name="waste_cost" dataDxfId="3">
      <calculatedColumnFormula>cloudSense[[#This Row],[allocated_cost]]-cloudSense[[#This Row],[actual_used_cost]]</calculatedColumnFormula>
    </tableColumn>
    <tableColumn id="10" xr3:uid="{0BE01EBE-266E-46EF-B9B5-89A95800BD25}" name="waste_percent" dataDxfId="2" dataCellStyle="Percent">
      <calculatedColumnFormula>((cloudSense[[#This Row],[allocated_cost]]-cloudSense[[#This Row],[actual_used_cost]])/cloudSense[[#This Row],[allocated_cost]]*100)*0.01</calculatedColumnFormula>
    </tableColumn>
    <tableColumn id="11" xr3:uid="{4DED7CA2-59AD-4159-8498-D9F796BC6B3C}" name="cpu_clean" dataDxfId="1">
      <calculatedColumnFormula>IF('cloudSense'!E2="",AVERAGE('cloudSense'!$E$2:$E$201),'cloudSense'!E2)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C5247-D239-40BB-B174-3DB67BE81883}">
  <dimension ref="A1:O201"/>
  <sheetViews>
    <sheetView zoomScale="82" workbookViewId="0">
      <selection activeCell="M1" sqref="M1:M1048576"/>
    </sheetView>
  </sheetViews>
  <sheetFormatPr defaultRowHeight="14.4" x14ac:dyDescent="0.3"/>
  <cols>
    <col min="1" max="1" width="11.21875" bestFit="1" customWidth="1"/>
    <col min="2" max="2" width="16.109375" style="1" bestFit="1" customWidth="1"/>
    <col min="3" max="3" width="14.77734375" bestFit="1" customWidth="1"/>
    <col min="4" max="4" width="11.5546875" bestFit="1" customWidth="1"/>
    <col min="5" max="5" width="19.88671875" bestFit="1" customWidth="1"/>
    <col min="6" max="6" width="12.5546875" bestFit="1" customWidth="1"/>
    <col min="7" max="7" width="15.44140625" bestFit="1" customWidth="1"/>
    <col min="8" max="8" width="17.88671875" bestFit="1" customWidth="1"/>
    <col min="9" max="9" width="16.5546875" bestFit="1" customWidth="1"/>
    <col min="10" max="10" width="15.6640625" customWidth="1"/>
    <col min="11" max="11" width="14.109375" customWidth="1"/>
    <col min="12" max="12" width="14.33203125" customWidth="1"/>
    <col min="14" max="14" width="13.88671875" customWidth="1"/>
    <col min="15" max="15" width="18.88671875" customWidth="1"/>
  </cols>
  <sheetData>
    <row r="1" spans="1:1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</v>
      </c>
      <c r="K1" t="s">
        <v>23</v>
      </c>
      <c r="L1" t="s">
        <v>24</v>
      </c>
      <c r="M1" t="s">
        <v>29</v>
      </c>
      <c r="N1" t="s">
        <v>26</v>
      </c>
      <c r="O1" t="s">
        <v>27</v>
      </c>
    </row>
    <row r="2" spans="1:15" x14ac:dyDescent="0.3">
      <c r="A2">
        <v>1</v>
      </c>
      <c r="B2" s="1">
        <v>45658</v>
      </c>
      <c r="C2" t="s">
        <v>9</v>
      </c>
      <c r="D2" t="s">
        <v>10</v>
      </c>
      <c r="E2">
        <v>23</v>
      </c>
      <c r="F2">
        <v>120</v>
      </c>
      <c r="G2">
        <v>500</v>
      </c>
      <c r="H2">
        <v>210</v>
      </c>
      <c r="I2" t="s">
        <v>11</v>
      </c>
      <c r="J2" t="str">
        <f>UPPER(TRIM(cloudSense[[#This Row],[service_name]]))</f>
        <v>EC2</v>
      </c>
      <c r="K2" t="str">
        <f>LOWER(TRIM(cloudSense[[#This Row],[region]]))</f>
        <v>us-east</v>
      </c>
      <c r="L2" t="str">
        <f>PROPER(TRIM(cloudSense[[#This Row],[resource_status]]))</f>
        <v>Idle</v>
      </c>
      <c r="N2">
        <f>cloudSense[[#This Row],[allocated_cost]]-cloudSense[[#This Row],[actual_used_cost]]</f>
        <v>290</v>
      </c>
      <c r="O2" s="2">
        <f>(cloudSense[[#This Row],[allocated_cost]]-cloudSense[[#This Row],[actual_used_cost]])/cloudSense[[#This Row],[allocated_cost]]*100</f>
        <v>57.999999999999993</v>
      </c>
    </row>
    <row r="3" spans="1:15" x14ac:dyDescent="0.3">
      <c r="A3">
        <v>2</v>
      </c>
      <c r="B3" s="1">
        <v>45658</v>
      </c>
      <c r="C3" t="s">
        <v>12</v>
      </c>
      <c r="D3" t="s">
        <v>13</v>
      </c>
      <c r="E3">
        <v>78</v>
      </c>
      <c r="F3">
        <v>450</v>
      </c>
      <c r="G3">
        <v>700</v>
      </c>
      <c r="H3">
        <v>690</v>
      </c>
      <c r="I3" t="s">
        <v>14</v>
      </c>
      <c r="J3" t="str">
        <f>UPPER(TRIM(cloudSense[[#This Row],[service_name]]))</f>
        <v>S3</v>
      </c>
      <c r="K3" t="str">
        <f>LOWER(TRIM(cloudSense[[#This Row],[region]]))</f>
        <v>us-west</v>
      </c>
      <c r="L3" t="str">
        <f>PROPER(TRIM(cloudSense[[#This Row],[resource_status]]))</f>
        <v>Active</v>
      </c>
      <c r="N3">
        <f>cloudSense[[#This Row],[allocated_cost]]-cloudSense[[#This Row],[actual_used_cost]]</f>
        <v>10</v>
      </c>
      <c r="O3" s="2">
        <f>(cloudSense[[#This Row],[allocated_cost]]-cloudSense[[#This Row],[actual_used_cost]])/cloudSense[[#This Row],[allocated_cost]]*100</f>
        <v>1.4285714285714286</v>
      </c>
    </row>
    <row r="4" spans="1:15" x14ac:dyDescent="0.3">
      <c r="A4">
        <v>3</v>
      </c>
      <c r="B4" s="1">
        <v>45659</v>
      </c>
      <c r="C4" t="s">
        <v>15</v>
      </c>
      <c r="D4" t="s">
        <v>10</v>
      </c>
      <c r="E4">
        <v>12</v>
      </c>
      <c r="F4">
        <v>90</v>
      </c>
      <c r="G4">
        <v>500</v>
      </c>
      <c r="H4">
        <v>120</v>
      </c>
      <c r="I4" t="s">
        <v>16</v>
      </c>
      <c r="J4" t="str">
        <f>UPPER(TRIM(cloudSense[[#This Row],[service_name]]))</f>
        <v>EC2</v>
      </c>
      <c r="K4" t="str">
        <f>LOWER(TRIM(cloudSense[[#This Row],[region]]))</f>
        <v>us-east</v>
      </c>
      <c r="L4" t="str">
        <f>PROPER(TRIM(cloudSense[[#This Row],[resource_status]]))</f>
        <v>Idle</v>
      </c>
      <c r="N4">
        <f>cloudSense[[#This Row],[allocated_cost]]-cloudSense[[#This Row],[actual_used_cost]]</f>
        <v>380</v>
      </c>
      <c r="O4" s="2">
        <f>(cloudSense[[#This Row],[allocated_cost]]-cloudSense[[#This Row],[actual_used_cost]])/cloudSense[[#This Row],[allocated_cost]]*100</f>
        <v>76</v>
      </c>
    </row>
    <row r="5" spans="1:15" x14ac:dyDescent="0.3">
      <c r="A5">
        <v>4</v>
      </c>
      <c r="B5" s="1">
        <v>45659</v>
      </c>
      <c r="C5" t="s">
        <v>17</v>
      </c>
      <c r="D5" t="s">
        <v>18</v>
      </c>
      <c r="E5">
        <v>65</v>
      </c>
      <c r="F5">
        <v>300</v>
      </c>
      <c r="G5">
        <v>600</v>
      </c>
      <c r="H5">
        <v>580</v>
      </c>
      <c r="I5" t="s">
        <v>14</v>
      </c>
      <c r="J5" t="str">
        <f>UPPER(TRIM(cloudSense[[#This Row],[service_name]]))</f>
        <v>RDS</v>
      </c>
      <c r="K5" t="str">
        <f>LOWER(TRIM(cloudSense[[#This Row],[region]]))</f>
        <v>eu-central</v>
      </c>
      <c r="L5" t="str">
        <f>PROPER(TRIM(cloudSense[[#This Row],[resource_status]]))</f>
        <v>Active</v>
      </c>
      <c r="N5">
        <f>cloudSense[[#This Row],[allocated_cost]]-cloudSense[[#This Row],[actual_used_cost]]</f>
        <v>20</v>
      </c>
      <c r="O5" s="2">
        <f>(cloudSense[[#This Row],[allocated_cost]]-cloudSense[[#This Row],[actual_used_cost]])/cloudSense[[#This Row],[allocated_cost]]*100</f>
        <v>3.3333333333333335</v>
      </c>
    </row>
    <row r="6" spans="1:15" x14ac:dyDescent="0.3">
      <c r="A6">
        <v>5</v>
      </c>
      <c r="B6" s="1">
        <v>45660</v>
      </c>
      <c r="C6" t="s">
        <v>19</v>
      </c>
      <c r="D6" t="s">
        <v>20</v>
      </c>
      <c r="E6">
        <v>5</v>
      </c>
      <c r="F6">
        <v>20</v>
      </c>
      <c r="G6">
        <v>200</v>
      </c>
      <c r="H6">
        <v>50</v>
      </c>
      <c r="I6" t="s">
        <v>11</v>
      </c>
      <c r="J6" t="str">
        <f>UPPER(TRIM(cloudSense[[#This Row],[service_name]]))</f>
        <v>LAMBDA</v>
      </c>
      <c r="K6" t="str">
        <f>LOWER(TRIM(cloudSense[[#This Row],[region]]))</f>
        <v>asia-south</v>
      </c>
      <c r="L6" t="str">
        <f>PROPER(TRIM(cloudSense[[#This Row],[resource_status]]))</f>
        <v>Idle</v>
      </c>
      <c r="N6">
        <f>cloudSense[[#This Row],[allocated_cost]]-cloudSense[[#This Row],[actual_used_cost]]</f>
        <v>150</v>
      </c>
      <c r="O6" s="2">
        <f>(cloudSense[[#This Row],[allocated_cost]]-cloudSense[[#This Row],[actual_used_cost]])/cloudSense[[#This Row],[allocated_cost]]*100</f>
        <v>75</v>
      </c>
    </row>
    <row r="7" spans="1:15" x14ac:dyDescent="0.3">
      <c r="A7">
        <v>6</v>
      </c>
      <c r="B7" s="1">
        <v>45660</v>
      </c>
      <c r="C7" t="s">
        <v>12</v>
      </c>
      <c r="D7" t="s">
        <v>13</v>
      </c>
      <c r="F7">
        <v>400</v>
      </c>
      <c r="G7">
        <v>700</v>
      </c>
      <c r="H7">
        <v>650</v>
      </c>
      <c r="I7" t="s">
        <v>14</v>
      </c>
      <c r="J7" t="str">
        <f>UPPER(TRIM(cloudSense[[#This Row],[service_name]]))</f>
        <v>S3</v>
      </c>
      <c r="K7" t="str">
        <f>LOWER(TRIM(cloudSense[[#This Row],[region]]))</f>
        <v>us-west</v>
      </c>
      <c r="L7" t="str">
        <f>PROPER(TRIM(cloudSense[[#This Row],[resource_status]]))</f>
        <v>Active</v>
      </c>
      <c r="N7">
        <f>cloudSense[[#This Row],[allocated_cost]]-cloudSense[[#This Row],[actual_used_cost]]</f>
        <v>50</v>
      </c>
      <c r="O7" s="2">
        <f>(cloudSense[[#This Row],[allocated_cost]]-cloudSense[[#This Row],[actual_used_cost]])/cloudSense[[#This Row],[allocated_cost]]*100</f>
        <v>7.1428571428571423</v>
      </c>
    </row>
    <row r="8" spans="1:15" x14ac:dyDescent="0.3">
      <c r="A8">
        <v>7</v>
      </c>
      <c r="B8" s="1">
        <v>45661</v>
      </c>
      <c r="C8" t="s">
        <v>9</v>
      </c>
      <c r="D8" t="s">
        <v>10</v>
      </c>
      <c r="E8">
        <v>33</v>
      </c>
      <c r="F8">
        <v>150</v>
      </c>
      <c r="G8">
        <v>500</v>
      </c>
      <c r="H8">
        <v>300</v>
      </c>
      <c r="I8" t="s">
        <v>14</v>
      </c>
      <c r="J8" t="str">
        <f>UPPER(TRIM(cloudSense[[#This Row],[service_name]]))</f>
        <v>EC2</v>
      </c>
      <c r="K8" t="str">
        <f>LOWER(TRIM(cloudSense[[#This Row],[region]]))</f>
        <v>us-east</v>
      </c>
      <c r="L8" t="str">
        <f>PROPER(TRIM(cloudSense[[#This Row],[resource_status]]))</f>
        <v>Active</v>
      </c>
      <c r="N8">
        <f>cloudSense[[#This Row],[allocated_cost]]-cloudSense[[#This Row],[actual_used_cost]]</f>
        <v>200</v>
      </c>
      <c r="O8" s="2">
        <f>(cloudSense[[#This Row],[allocated_cost]]-cloudSense[[#This Row],[actual_used_cost]])/cloudSense[[#This Row],[allocated_cost]]*100</f>
        <v>40</v>
      </c>
    </row>
    <row r="9" spans="1:15" x14ac:dyDescent="0.3">
      <c r="A9">
        <v>8</v>
      </c>
      <c r="B9" s="1">
        <v>45661</v>
      </c>
      <c r="C9" t="s">
        <v>17</v>
      </c>
      <c r="D9" t="s">
        <v>21</v>
      </c>
      <c r="E9">
        <v>18</v>
      </c>
      <c r="F9">
        <v>200</v>
      </c>
      <c r="G9">
        <v>600</v>
      </c>
      <c r="H9">
        <v>150</v>
      </c>
      <c r="I9" t="s">
        <v>11</v>
      </c>
      <c r="J9" t="str">
        <f>UPPER(TRIM(cloudSense[[#This Row],[service_name]]))</f>
        <v>RDS</v>
      </c>
      <c r="K9" t="str">
        <f>LOWER(TRIM(cloudSense[[#This Row],[region]]))</f>
        <v>eu-central</v>
      </c>
      <c r="L9" t="str">
        <f>PROPER(TRIM(cloudSense[[#This Row],[resource_status]]))</f>
        <v>Idle</v>
      </c>
      <c r="N9">
        <f>cloudSense[[#This Row],[allocated_cost]]-cloudSense[[#This Row],[actual_used_cost]]</f>
        <v>450</v>
      </c>
      <c r="O9" s="2">
        <f>(cloudSense[[#This Row],[allocated_cost]]-cloudSense[[#This Row],[actual_used_cost]])/cloudSense[[#This Row],[allocated_cost]]*100</f>
        <v>75</v>
      </c>
    </row>
    <row r="10" spans="1:15" x14ac:dyDescent="0.3">
      <c r="A10">
        <v>9</v>
      </c>
      <c r="B10" s="1">
        <v>45662</v>
      </c>
      <c r="C10" t="s">
        <v>9</v>
      </c>
      <c r="D10" t="s">
        <v>10</v>
      </c>
      <c r="E10">
        <v>90</v>
      </c>
      <c r="F10">
        <v>250</v>
      </c>
      <c r="G10">
        <v>500</v>
      </c>
      <c r="H10">
        <v>480</v>
      </c>
      <c r="I10" t="s">
        <v>14</v>
      </c>
      <c r="J10" t="str">
        <f>UPPER(TRIM(cloudSense[[#This Row],[service_name]]))</f>
        <v>EC2</v>
      </c>
      <c r="K10" t="str">
        <f>LOWER(TRIM(cloudSense[[#This Row],[region]]))</f>
        <v>us-east</v>
      </c>
      <c r="L10" t="str">
        <f>PROPER(TRIM(cloudSense[[#This Row],[resource_status]]))</f>
        <v>Active</v>
      </c>
      <c r="N10">
        <f>cloudSense[[#This Row],[allocated_cost]]-cloudSense[[#This Row],[actual_used_cost]]</f>
        <v>20</v>
      </c>
      <c r="O10" s="2">
        <f>(cloudSense[[#This Row],[allocated_cost]]-cloudSense[[#This Row],[actual_used_cost]])/cloudSense[[#This Row],[allocated_cost]]*100</f>
        <v>4</v>
      </c>
    </row>
    <row r="11" spans="1:15" x14ac:dyDescent="0.3">
      <c r="A11">
        <v>10</v>
      </c>
      <c r="B11" s="1">
        <v>45662</v>
      </c>
      <c r="C11" t="s">
        <v>12</v>
      </c>
      <c r="D11" t="s">
        <v>13</v>
      </c>
      <c r="E11">
        <v>45</v>
      </c>
      <c r="F11">
        <v>500</v>
      </c>
      <c r="G11">
        <v>700</v>
      </c>
      <c r="H11">
        <v>400</v>
      </c>
      <c r="I11" t="s">
        <v>14</v>
      </c>
      <c r="J11" t="str">
        <f>UPPER(TRIM(cloudSense[[#This Row],[service_name]]))</f>
        <v>S3</v>
      </c>
      <c r="K11" t="str">
        <f>LOWER(TRIM(cloudSense[[#This Row],[region]]))</f>
        <v>us-west</v>
      </c>
      <c r="L11" t="str">
        <f>PROPER(TRIM(cloudSense[[#This Row],[resource_status]]))</f>
        <v>Active</v>
      </c>
      <c r="N11">
        <f>cloudSense[[#This Row],[allocated_cost]]-cloudSense[[#This Row],[actual_used_cost]]</f>
        <v>300</v>
      </c>
      <c r="O11" s="2">
        <f>(cloudSense[[#This Row],[allocated_cost]]-cloudSense[[#This Row],[actual_used_cost]])/cloudSense[[#This Row],[allocated_cost]]*100</f>
        <v>42.857142857142854</v>
      </c>
    </row>
    <row r="12" spans="1:15" x14ac:dyDescent="0.3">
      <c r="A12">
        <v>11</v>
      </c>
      <c r="B12" s="1">
        <v>45663</v>
      </c>
      <c r="C12" t="s">
        <v>15</v>
      </c>
      <c r="D12" t="s">
        <v>10</v>
      </c>
      <c r="E12">
        <v>8</v>
      </c>
      <c r="F12">
        <v>80</v>
      </c>
      <c r="G12">
        <v>500</v>
      </c>
      <c r="H12">
        <v>60</v>
      </c>
      <c r="I12" t="s">
        <v>11</v>
      </c>
      <c r="J12" t="str">
        <f>UPPER(TRIM(cloudSense[[#This Row],[service_name]]))</f>
        <v>EC2</v>
      </c>
      <c r="K12" t="str">
        <f>LOWER(TRIM(cloudSense[[#This Row],[region]]))</f>
        <v>us-east</v>
      </c>
      <c r="L12" t="str">
        <f>PROPER(TRIM(cloudSense[[#This Row],[resource_status]]))</f>
        <v>Idle</v>
      </c>
      <c r="N12">
        <f>cloudSense[[#This Row],[allocated_cost]]-cloudSense[[#This Row],[actual_used_cost]]</f>
        <v>440</v>
      </c>
      <c r="O12" s="2">
        <f>(cloudSense[[#This Row],[allocated_cost]]-cloudSense[[#This Row],[actual_used_cost]])/cloudSense[[#This Row],[allocated_cost]]*100</f>
        <v>88</v>
      </c>
    </row>
    <row r="13" spans="1:15" x14ac:dyDescent="0.3">
      <c r="A13">
        <v>12</v>
      </c>
      <c r="B13" s="1">
        <v>45663</v>
      </c>
      <c r="C13" t="s">
        <v>17</v>
      </c>
      <c r="D13" t="s">
        <v>20</v>
      </c>
      <c r="E13">
        <v>72</v>
      </c>
      <c r="F13">
        <v>350</v>
      </c>
      <c r="G13">
        <v>600</v>
      </c>
      <c r="H13">
        <v>590</v>
      </c>
      <c r="I13" t="s">
        <v>14</v>
      </c>
      <c r="J13" t="str">
        <f>UPPER(TRIM(cloudSense[[#This Row],[service_name]]))</f>
        <v>RDS</v>
      </c>
      <c r="K13" t="str">
        <f>LOWER(TRIM(cloudSense[[#This Row],[region]]))</f>
        <v>asia-south</v>
      </c>
      <c r="L13" t="str">
        <f>PROPER(TRIM(cloudSense[[#This Row],[resource_status]]))</f>
        <v>Active</v>
      </c>
      <c r="N13">
        <f>cloudSense[[#This Row],[allocated_cost]]-cloudSense[[#This Row],[actual_used_cost]]</f>
        <v>10</v>
      </c>
      <c r="O13" s="2">
        <f>(cloudSense[[#This Row],[allocated_cost]]-cloudSense[[#This Row],[actual_used_cost]])/cloudSense[[#This Row],[allocated_cost]]*100</f>
        <v>1.6666666666666667</v>
      </c>
    </row>
    <row r="14" spans="1:15" x14ac:dyDescent="0.3">
      <c r="A14">
        <v>13</v>
      </c>
      <c r="B14" s="1">
        <v>45664</v>
      </c>
      <c r="C14" t="s">
        <v>19</v>
      </c>
      <c r="D14" t="s">
        <v>13</v>
      </c>
      <c r="E14">
        <v>3</v>
      </c>
      <c r="F14">
        <v>15</v>
      </c>
      <c r="G14">
        <v>200</v>
      </c>
      <c r="H14">
        <v>40</v>
      </c>
      <c r="I14" t="s">
        <v>11</v>
      </c>
      <c r="J14" t="str">
        <f>UPPER(TRIM(cloudSense[[#This Row],[service_name]]))</f>
        <v>LAMBDA</v>
      </c>
      <c r="K14" t="str">
        <f>LOWER(TRIM(cloudSense[[#This Row],[region]]))</f>
        <v>us-west</v>
      </c>
      <c r="L14" t="str">
        <f>PROPER(TRIM(cloudSense[[#This Row],[resource_status]]))</f>
        <v>Idle</v>
      </c>
      <c r="N14">
        <f>cloudSense[[#This Row],[allocated_cost]]-cloudSense[[#This Row],[actual_used_cost]]</f>
        <v>160</v>
      </c>
      <c r="O14" s="2">
        <f>(cloudSense[[#This Row],[allocated_cost]]-cloudSense[[#This Row],[actual_used_cost]])/cloudSense[[#This Row],[allocated_cost]]*100</f>
        <v>80</v>
      </c>
    </row>
    <row r="15" spans="1:15" x14ac:dyDescent="0.3">
      <c r="A15">
        <v>14</v>
      </c>
      <c r="B15" s="1">
        <v>45664</v>
      </c>
      <c r="C15" t="s">
        <v>12</v>
      </c>
      <c r="D15" t="s">
        <v>13</v>
      </c>
      <c r="E15">
        <v>88</v>
      </c>
      <c r="F15">
        <v>520</v>
      </c>
      <c r="G15">
        <v>700</v>
      </c>
      <c r="H15">
        <v>680</v>
      </c>
      <c r="I15" t="s">
        <v>14</v>
      </c>
      <c r="J15" t="str">
        <f>UPPER(TRIM(cloudSense[[#This Row],[service_name]]))</f>
        <v>S3</v>
      </c>
      <c r="K15" t="str">
        <f>LOWER(TRIM(cloudSense[[#This Row],[region]]))</f>
        <v>us-west</v>
      </c>
      <c r="L15" t="str">
        <f>PROPER(TRIM(cloudSense[[#This Row],[resource_status]]))</f>
        <v>Active</v>
      </c>
      <c r="N15">
        <f>cloudSense[[#This Row],[allocated_cost]]-cloudSense[[#This Row],[actual_used_cost]]</f>
        <v>20</v>
      </c>
      <c r="O15" s="2">
        <f>(cloudSense[[#This Row],[allocated_cost]]-cloudSense[[#This Row],[actual_used_cost]])/cloudSense[[#This Row],[allocated_cost]]*100</f>
        <v>2.8571428571428572</v>
      </c>
    </row>
    <row r="16" spans="1:15" x14ac:dyDescent="0.3">
      <c r="A16">
        <v>15</v>
      </c>
      <c r="B16" s="1">
        <v>45665</v>
      </c>
      <c r="C16" t="s">
        <v>9</v>
      </c>
      <c r="D16" t="s">
        <v>10</v>
      </c>
      <c r="E16">
        <v>25</v>
      </c>
      <c r="F16">
        <v>140</v>
      </c>
      <c r="G16">
        <v>500</v>
      </c>
      <c r="H16">
        <v>260</v>
      </c>
      <c r="I16" t="s">
        <v>14</v>
      </c>
      <c r="J16" t="str">
        <f>UPPER(TRIM(cloudSense[[#This Row],[service_name]]))</f>
        <v>EC2</v>
      </c>
      <c r="K16" t="str">
        <f>LOWER(TRIM(cloudSense[[#This Row],[region]]))</f>
        <v>us-east</v>
      </c>
      <c r="L16" t="str">
        <f>PROPER(TRIM(cloudSense[[#This Row],[resource_status]]))</f>
        <v>Active</v>
      </c>
      <c r="N16">
        <f>cloudSense[[#This Row],[allocated_cost]]-cloudSense[[#This Row],[actual_used_cost]]</f>
        <v>240</v>
      </c>
      <c r="O16" s="2">
        <f>(cloudSense[[#This Row],[allocated_cost]]-cloudSense[[#This Row],[actual_used_cost]])/cloudSense[[#This Row],[allocated_cost]]*100</f>
        <v>48</v>
      </c>
    </row>
    <row r="17" spans="1:15" x14ac:dyDescent="0.3">
      <c r="A17">
        <v>16</v>
      </c>
      <c r="B17" s="1">
        <v>45665</v>
      </c>
      <c r="C17" t="s">
        <v>17</v>
      </c>
      <c r="D17" t="s">
        <v>18</v>
      </c>
      <c r="F17">
        <v>280</v>
      </c>
      <c r="G17">
        <v>600</v>
      </c>
      <c r="H17">
        <v>400</v>
      </c>
      <c r="I17" t="s">
        <v>11</v>
      </c>
      <c r="J17" t="str">
        <f>UPPER(TRIM(cloudSense[[#This Row],[service_name]]))</f>
        <v>RDS</v>
      </c>
      <c r="K17" t="str">
        <f>LOWER(TRIM(cloudSense[[#This Row],[region]]))</f>
        <v>eu-central</v>
      </c>
      <c r="L17" t="str">
        <f>PROPER(TRIM(cloudSense[[#This Row],[resource_status]]))</f>
        <v>Idle</v>
      </c>
      <c r="N17">
        <f>cloudSense[[#This Row],[allocated_cost]]-cloudSense[[#This Row],[actual_used_cost]]</f>
        <v>200</v>
      </c>
      <c r="O17" s="2">
        <f>(cloudSense[[#This Row],[allocated_cost]]-cloudSense[[#This Row],[actual_used_cost]])/cloudSense[[#This Row],[allocated_cost]]*100</f>
        <v>33.333333333333329</v>
      </c>
    </row>
    <row r="18" spans="1:15" x14ac:dyDescent="0.3">
      <c r="A18">
        <v>17</v>
      </c>
      <c r="B18" s="1">
        <v>45666</v>
      </c>
      <c r="C18" t="s">
        <v>19</v>
      </c>
      <c r="D18" t="s">
        <v>20</v>
      </c>
      <c r="E18">
        <v>6</v>
      </c>
      <c r="F18">
        <v>25</v>
      </c>
      <c r="G18">
        <v>200</v>
      </c>
      <c r="H18">
        <v>55</v>
      </c>
      <c r="I18" t="s">
        <v>11</v>
      </c>
      <c r="J18" t="str">
        <f>UPPER(TRIM(cloudSense[[#This Row],[service_name]]))</f>
        <v>LAMBDA</v>
      </c>
      <c r="K18" t="str">
        <f>LOWER(TRIM(cloudSense[[#This Row],[region]]))</f>
        <v>asia-south</v>
      </c>
      <c r="L18" t="str">
        <f>PROPER(TRIM(cloudSense[[#This Row],[resource_status]]))</f>
        <v>Idle</v>
      </c>
      <c r="N18">
        <f>cloudSense[[#This Row],[allocated_cost]]-cloudSense[[#This Row],[actual_used_cost]]</f>
        <v>145</v>
      </c>
      <c r="O18" s="2">
        <f>(cloudSense[[#This Row],[allocated_cost]]-cloudSense[[#This Row],[actual_used_cost]])/cloudSense[[#This Row],[allocated_cost]]*100</f>
        <v>72.5</v>
      </c>
    </row>
    <row r="19" spans="1:15" x14ac:dyDescent="0.3">
      <c r="A19">
        <v>18</v>
      </c>
      <c r="B19" s="1">
        <v>45666</v>
      </c>
      <c r="C19" t="s">
        <v>12</v>
      </c>
      <c r="D19" t="s">
        <v>13</v>
      </c>
      <c r="E19">
        <v>92</v>
      </c>
      <c r="F19">
        <v>550</v>
      </c>
      <c r="G19">
        <v>700</v>
      </c>
      <c r="H19">
        <v>700</v>
      </c>
      <c r="I19" t="s">
        <v>14</v>
      </c>
      <c r="J19" t="str">
        <f>UPPER(TRIM(cloudSense[[#This Row],[service_name]]))</f>
        <v>S3</v>
      </c>
      <c r="K19" t="str">
        <f>LOWER(TRIM(cloudSense[[#This Row],[region]]))</f>
        <v>us-west</v>
      </c>
      <c r="L19" t="str">
        <f>PROPER(TRIM(cloudSense[[#This Row],[resource_status]]))</f>
        <v>Active</v>
      </c>
      <c r="N19">
        <f>cloudSense[[#This Row],[allocated_cost]]-cloudSense[[#This Row],[actual_used_cost]]</f>
        <v>0</v>
      </c>
      <c r="O19" s="2">
        <f>(cloudSense[[#This Row],[allocated_cost]]-cloudSense[[#This Row],[actual_used_cost]])/cloudSense[[#This Row],[allocated_cost]]*100</f>
        <v>0</v>
      </c>
    </row>
    <row r="20" spans="1:15" x14ac:dyDescent="0.3">
      <c r="A20">
        <v>19</v>
      </c>
      <c r="B20" s="1">
        <v>45667</v>
      </c>
      <c r="C20" t="s">
        <v>15</v>
      </c>
      <c r="D20" t="s">
        <v>10</v>
      </c>
      <c r="E20">
        <v>15</v>
      </c>
      <c r="F20">
        <v>100</v>
      </c>
      <c r="G20">
        <v>500</v>
      </c>
      <c r="H20">
        <v>150</v>
      </c>
      <c r="I20" t="s">
        <v>16</v>
      </c>
      <c r="J20" t="str">
        <f>UPPER(TRIM(cloudSense[[#This Row],[service_name]]))</f>
        <v>EC2</v>
      </c>
      <c r="K20" t="str">
        <f>LOWER(TRIM(cloudSense[[#This Row],[region]]))</f>
        <v>us-east</v>
      </c>
      <c r="L20" t="str">
        <f>PROPER(TRIM(cloudSense[[#This Row],[resource_status]]))</f>
        <v>Idle</v>
      </c>
      <c r="N20">
        <f>cloudSense[[#This Row],[allocated_cost]]-cloudSense[[#This Row],[actual_used_cost]]</f>
        <v>350</v>
      </c>
      <c r="O20" s="2">
        <f>(cloudSense[[#This Row],[allocated_cost]]-cloudSense[[#This Row],[actual_used_cost]])/cloudSense[[#This Row],[allocated_cost]]*100</f>
        <v>70</v>
      </c>
    </row>
    <row r="21" spans="1:15" x14ac:dyDescent="0.3">
      <c r="A21">
        <v>20</v>
      </c>
      <c r="B21" s="1">
        <v>45667</v>
      </c>
      <c r="C21" t="s">
        <v>17</v>
      </c>
      <c r="D21" t="s">
        <v>21</v>
      </c>
      <c r="E21">
        <v>60</v>
      </c>
      <c r="F21">
        <v>310</v>
      </c>
      <c r="G21">
        <v>600</v>
      </c>
      <c r="H21">
        <v>570</v>
      </c>
      <c r="I21" t="s">
        <v>14</v>
      </c>
      <c r="J21" t="str">
        <f>UPPER(TRIM(cloudSense[[#This Row],[service_name]]))</f>
        <v>RDS</v>
      </c>
      <c r="K21" t="str">
        <f>LOWER(TRIM(cloudSense[[#This Row],[region]]))</f>
        <v>eu-central</v>
      </c>
      <c r="L21" t="str">
        <f>PROPER(TRIM(cloudSense[[#This Row],[resource_status]]))</f>
        <v>Active</v>
      </c>
      <c r="N21">
        <f>cloudSense[[#This Row],[allocated_cost]]-cloudSense[[#This Row],[actual_used_cost]]</f>
        <v>30</v>
      </c>
      <c r="O21" s="2">
        <f>(cloudSense[[#This Row],[allocated_cost]]-cloudSense[[#This Row],[actual_used_cost]])/cloudSense[[#This Row],[allocated_cost]]*100</f>
        <v>5</v>
      </c>
    </row>
    <row r="22" spans="1:15" x14ac:dyDescent="0.3">
      <c r="A22">
        <v>21</v>
      </c>
      <c r="B22" s="1">
        <v>45668</v>
      </c>
      <c r="C22" t="s">
        <v>9</v>
      </c>
      <c r="D22" t="s">
        <v>10</v>
      </c>
      <c r="E22">
        <v>30</v>
      </c>
      <c r="F22">
        <v>160</v>
      </c>
      <c r="G22">
        <v>500</v>
      </c>
      <c r="H22">
        <v>280</v>
      </c>
      <c r="I22" t="s">
        <v>14</v>
      </c>
      <c r="J22" t="str">
        <f>UPPER(TRIM(cloudSense[[#This Row],[service_name]]))</f>
        <v>EC2</v>
      </c>
      <c r="K22" t="str">
        <f>LOWER(TRIM(cloudSense[[#This Row],[region]]))</f>
        <v>us-east</v>
      </c>
      <c r="L22" t="str">
        <f>PROPER(TRIM(cloudSense[[#This Row],[resource_status]]))</f>
        <v>Active</v>
      </c>
      <c r="N22">
        <f>cloudSense[[#This Row],[allocated_cost]]-cloudSense[[#This Row],[actual_used_cost]]</f>
        <v>220</v>
      </c>
      <c r="O22" s="2">
        <f>(cloudSense[[#This Row],[allocated_cost]]-cloudSense[[#This Row],[actual_used_cost]])/cloudSense[[#This Row],[allocated_cost]]*100</f>
        <v>44</v>
      </c>
    </row>
    <row r="23" spans="1:15" x14ac:dyDescent="0.3">
      <c r="A23">
        <v>22</v>
      </c>
      <c r="B23" s="1">
        <v>45668</v>
      </c>
      <c r="C23" t="s">
        <v>12</v>
      </c>
      <c r="D23" t="s">
        <v>13</v>
      </c>
      <c r="E23">
        <v>70</v>
      </c>
      <c r="F23">
        <v>430</v>
      </c>
      <c r="G23">
        <v>700</v>
      </c>
      <c r="H23">
        <v>620</v>
      </c>
      <c r="I23" t="s">
        <v>14</v>
      </c>
      <c r="J23" t="str">
        <f>UPPER(TRIM(cloudSense[[#This Row],[service_name]]))</f>
        <v>S3</v>
      </c>
      <c r="K23" t="str">
        <f>LOWER(TRIM(cloudSense[[#This Row],[region]]))</f>
        <v>us-west</v>
      </c>
      <c r="L23" t="str">
        <f>PROPER(TRIM(cloudSense[[#This Row],[resource_status]]))</f>
        <v>Active</v>
      </c>
      <c r="N23">
        <f>cloudSense[[#This Row],[allocated_cost]]-cloudSense[[#This Row],[actual_used_cost]]</f>
        <v>80</v>
      </c>
      <c r="O23" s="2">
        <f>(cloudSense[[#This Row],[allocated_cost]]-cloudSense[[#This Row],[actual_used_cost]])/cloudSense[[#This Row],[allocated_cost]]*100</f>
        <v>11.428571428571429</v>
      </c>
    </row>
    <row r="24" spans="1:15" x14ac:dyDescent="0.3">
      <c r="A24">
        <v>23</v>
      </c>
      <c r="B24" s="1">
        <v>45669</v>
      </c>
      <c r="C24" t="s">
        <v>15</v>
      </c>
      <c r="D24" t="s">
        <v>10</v>
      </c>
      <c r="E24">
        <v>10</v>
      </c>
      <c r="F24">
        <v>95</v>
      </c>
      <c r="G24">
        <v>500</v>
      </c>
      <c r="H24">
        <v>100</v>
      </c>
      <c r="I24" t="s">
        <v>11</v>
      </c>
      <c r="J24" t="str">
        <f>UPPER(TRIM(cloudSense[[#This Row],[service_name]]))</f>
        <v>EC2</v>
      </c>
      <c r="K24" t="str">
        <f>LOWER(TRIM(cloudSense[[#This Row],[region]]))</f>
        <v>us-east</v>
      </c>
      <c r="L24" t="str">
        <f>PROPER(TRIM(cloudSense[[#This Row],[resource_status]]))</f>
        <v>Idle</v>
      </c>
      <c r="N24">
        <f>cloudSense[[#This Row],[allocated_cost]]-cloudSense[[#This Row],[actual_used_cost]]</f>
        <v>400</v>
      </c>
      <c r="O24" s="2">
        <f>(cloudSense[[#This Row],[allocated_cost]]-cloudSense[[#This Row],[actual_used_cost]])/cloudSense[[#This Row],[allocated_cost]]*100</f>
        <v>80</v>
      </c>
    </row>
    <row r="25" spans="1:15" x14ac:dyDescent="0.3">
      <c r="A25">
        <v>24</v>
      </c>
      <c r="B25" s="1">
        <v>45669</v>
      </c>
      <c r="C25" t="s">
        <v>17</v>
      </c>
      <c r="D25" t="s">
        <v>18</v>
      </c>
      <c r="E25">
        <v>55</v>
      </c>
      <c r="F25">
        <v>290</v>
      </c>
      <c r="G25">
        <v>600</v>
      </c>
      <c r="H25">
        <v>500</v>
      </c>
      <c r="I25" t="s">
        <v>14</v>
      </c>
      <c r="J25" t="str">
        <f>UPPER(TRIM(cloudSense[[#This Row],[service_name]]))</f>
        <v>RDS</v>
      </c>
      <c r="K25" t="str">
        <f>LOWER(TRIM(cloudSense[[#This Row],[region]]))</f>
        <v>eu-central</v>
      </c>
      <c r="L25" t="str">
        <f>PROPER(TRIM(cloudSense[[#This Row],[resource_status]]))</f>
        <v>Active</v>
      </c>
      <c r="N25">
        <f>cloudSense[[#This Row],[allocated_cost]]-cloudSense[[#This Row],[actual_used_cost]]</f>
        <v>100</v>
      </c>
      <c r="O25" s="2">
        <f>(cloudSense[[#This Row],[allocated_cost]]-cloudSense[[#This Row],[actual_used_cost]])/cloudSense[[#This Row],[allocated_cost]]*100</f>
        <v>16.666666666666664</v>
      </c>
    </row>
    <row r="26" spans="1:15" x14ac:dyDescent="0.3">
      <c r="A26">
        <v>25</v>
      </c>
      <c r="B26" s="1">
        <v>45670</v>
      </c>
      <c r="C26" t="s">
        <v>19</v>
      </c>
      <c r="D26" t="s">
        <v>20</v>
      </c>
      <c r="E26">
        <v>4</v>
      </c>
      <c r="F26">
        <v>18</v>
      </c>
      <c r="G26">
        <v>200</v>
      </c>
      <c r="H26">
        <v>45</v>
      </c>
      <c r="I26" t="s">
        <v>11</v>
      </c>
      <c r="J26" t="str">
        <f>UPPER(TRIM(cloudSense[[#This Row],[service_name]]))</f>
        <v>LAMBDA</v>
      </c>
      <c r="K26" t="str">
        <f>LOWER(TRIM(cloudSense[[#This Row],[region]]))</f>
        <v>asia-south</v>
      </c>
      <c r="L26" t="str">
        <f>PROPER(TRIM(cloudSense[[#This Row],[resource_status]]))</f>
        <v>Idle</v>
      </c>
      <c r="N26">
        <f>cloudSense[[#This Row],[allocated_cost]]-cloudSense[[#This Row],[actual_used_cost]]</f>
        <v>155</v>
      </c>
      <c r="O26" s="2">
        <f>(cloudSense[[#This Row],[allocated_cost]]-cloudSense[[#This Row],[actual_used_cost]])/cloudSense[[#This Row],[allocated_cost]]*100</f>
        <v>77.5</v>
      </c>
    </row>
    <row r="27" spans="1:15" x14ac:dyDescent="0.3">
      <c r="A27">
        <v>26</v>
      </c>
      <c r="B27" s="1">
        <v>45670</v>
      </c>
      <c r="C27" t="s">
        <v>12</v>
      </c>
      <c r="D27" t="s">
        <v>13</v>
      </c>
      <c r="E27">
        <v>80</v>
      </c>
      <c r="F27">
        <v>480</v>
      </c>
      <c r="G27">
        <v>700</v>
      </c>
      <c r="H27">
        <v>650</v>
      </c>
      <c r="I27" t="s">
        <v>14</v>
      </c>
      <c r="J27" t="str">
        <f>UPPER(TRIM(cloudSense[[#This Row],[service_name]]))</f>
        <v>S3</v>
      </c>
      <c r="K27" t="str">
        <f>LOWER(TRIM(cloudSense[[#This Row],[region]]))</f>
        <v>us-west</v>
      </c>
      <c r="L27" t="str">
        <f>PROPER(TRIM(cloudSense[[#This Row],[resource_status]]))</f>
        <v>Active</v>
      </c>
      <c r="N27">
        <f>cloudSense[[#This Row],[allocated_cost]]-cloudSense[[#This Row],[actual_used_cost]]</f>
        <v>50</v>
      </c>
      <c r="O27" s="2">
        <f>(cloudSense[[#This Row],[allocated_cost]]-cloudSense[[#This Row],[actual_used_cost]])/cloudSense[[#This Row],[allocated_cost]]*100</f>
        <v>7.1428571428571423</v>
      </c>
    </row>
    <row r="28" spans="1:15" x14ac:dyDescent="0.3">
      <c r="A28">
        <v>27</v>
      </c>
      <c r="B28" s="1">
        <v>45671</v>
      </c>
      <c r="C28" t="s">
        <v>9</v>
      </c>
      <c r="D28" t="s">
        <v>10</v>
      </c>
      <c r="E28">
        <v>35</v>
      </c>
      <c r="F28">
        <v>170</v>
      </c>
      <c r="G28">
        <v>500</v>
      </c>
      <c r="H28">
        <v>320</v>
      </c>
      <c r="I28" t="s">
        <v>14</v>
      </c>
      <c r="J28" t="str">
        <f>UPPER(TRIM(cloudSense[[#This Row],[service_name]]))</f>
        <v>EC2</v>
      </c>
      <c r="K28" t="str">
        <f>LOWER(TRIM(cloudSense[[#This Row],[region]]))</f>
        <v>us-east</v>
      </c>
      <c r="L28" t="str">
        <f>PROPER(TRIM(cloudSense[[#This Row],[resource_status]]))</f>
        <v>Active</v>
      </c>
      <c r="N28">
        <f>cloudSense[[#This Row],[allocated_cost]]-cloudSense[[#This Row],[actual_used_cost]]</f>
        <v>180</v>
      </c>
      <c r="O28" s="2">
        <f>(cloudSense[[#This Row],[allocated_cost]]-cloudSense[[#This Row],[actual_used_cost]])/cloudSense[[#This Row],[allocated_cost]]*100</f>
        <v>36</v>
      </c>
    </row>
    <row r="29" spans="1:15" x14ac:dyDescent="0.3">
      <c r="A29">
        <v>28</v>
      </c>
      <c r="B29" s="1">
        <v>45671</v>
      </c>
      <c r="C29" t="s">
        <v>17</v>
      </c>
      <c r="D29" t="s">
        <v>21</v>
      </c>
      <c r="E29">
        <v>20</v>
      </c>
      <c r="F29">
        <v>210</v>
      </c>
      <c r="G29">
        <v>600</v>
      </c>
      <c r="H29">
        <v>160</v>
      </c>
      <c r="I29" t="s">
        <v>11</v>
      </c>
      <c r="J29" t="str">
        <f>UPPER(TRIM(cloudSense[[#This Row],[service_name]]))</f>
        <v>RDS</v>
      </c>
      <c r="K29" t="str">
        <f>LOWER(TRIM(cloudSense[[#This Row],[region]]))</f>
        <v>eu-central</v>
      </c>
      <c r="L29" t="str">
        <f>PROPER(TRIM(cloudSense[[#This Row],[resource_status]]))</f>
        <v>Idle</v>
      </c>
      <c r="N29">
        <f>cloudSense[[#This Row],[allocated_cost]]-cloudSense[[#This Row],[actual_used_cost]]</f>
        <v>440</v>
      </c>
      <c r="O29" s="2">
        <f>(cloudSense[[#This Row],[allocated_cost]]-cloudSense[[#This Row],[actual_used_cost]])/cloudSense[[#This Row],[allocated_cost]]*100</f>
        <v>73.333333333333329</v>
      </c>
    </row>
    <row r="30" spans="1:15" x14ac:dyDescent="0.3">
      <c r="A30">
        <v>29</v>
      </c>
      <c r="B30" s="1">
        <v>45672</v>
      </c>
      <c r="C30" t="s">
        <v>9</v>
      </c>
      <c r="D30" t="s">
        <v>10</v>
      </c>
      <c r="E30">
        <v>85</v>
      </c>
      <c r="F30">
        <v>260</v>
      </c>
      <c r="G30">
        <v>500</v>
      </c>
      <c r="H30">
        <v>470</v>
      </c>
      <c r="I30" t="s">
        <v>14</v>
      </c>
      <c r="J30" t="str">
        <f>UPPER(TRIM(cloudSense[[#This Row],[service_name]]))</f>
        <v>EC2</v>
      </c>
      <c r="K30" t="str">
        <f>LOWER(TRIM(cloudSense[[#This Row],[region]]))</f>
        <v>us-east</v>
      </c>
      <c r="L30" t="str">
        <f>PROPER(TRIM(cloudSense[[#This Row],[resource_status]]))</f>
        <v>Active</v>
      </c>
      <c r="N30">
        <f>cloudSense[[#This Row],[allocated_cost]]-cloudSense[[#This Row],[actual_used_cost]]</f>
        <v>30</v>
      </c>
      <c r="O30" s="2">
        <f>(cloudSense[[#This Row],[allocated_cost]]-cloudSense[[#This Row],[actual_used_cost]])/cloudSense[[#This Row],[allocated_cost]]*100</f>
        <v>6</v>
      </c>
    </row>
    <row r="31" spans="1:15" x14ac:dyDescent="0.3">
      <c r="A31">
        <v>30</v>
      </c>
      <c r="B31" s="1">
        <v>45672</v>
      </c>
      <c r="C31" t="s">
        <v>12</v>
      </c>
      <c r="D31" t="s">
        <v>13</v>
      </c>
      <c r="E31">
        <v>50</v>
      </c>
      <c r="F31">
        <v>510</v>
      </c>
      <c r="G31">
        <v>700</v>
      </c>
      <c r="H31">
        <v>420</v>
      </c>
      <c r="I31" t="s">
        <v>14</v>
      </c>
      <c r="J31" t="str">
        <f>UPPER(TRIM(cloudSense[[#This Row],[service_name]]))</f>
        <v>S3</v>
      </c>
      <c r="K31" t="str">
        <f>LOWER(TRIM(cloudSense[[#This Row],[region]]))</f>
        <v>us-west</v>
      </c>
      <c r="L31" t="str">
        <f>PROPER(TRIM(cloudSense[[#This Row],[resource_status]]))</f>
        <v>Active</v>
      </c>
      <c r="N31">
        <f>cloudSense[[#This Row],[allocated_cost]]-cloudSense[[#This Row],[actual_used_cost]]</f>
        <v>280</v>
      </c>
      <c r="O31" s="2">
        <f>(cloudSense[[#This Row],[allocated_cost]]-cloudSense[[#This Row],[actual_used_cost]])/cloudSense[[#This Row],[allocated_cost]]*100</f>
        <v>40</v>
      </c>
    </row>
    <row r="32" spans="1:15" x14ac:dyDescent="0.3">
      <c r="A32">
        <v>31</v>
      </c>
      <c r="B32" s="1">
        <v>45673</v>
      </c>
      <c r="C32" t="s">
        <v>15</v>
      </c>
      <c r="D32" t="s">
        <v>10</v>
      </c>
      <c r="E32">
        <v>9</v>
      </c>
      <c r="F32">
        <v>85</v>
      </c>
      <c r="G32">
        <v>500</v>
      </c>
      <c r="H32">
        <v>70</v>
      </c>
      <c r="I32" t="s">
        <v>11</v>
      </c>
      <c r="J32" t="str">
        <f>UPPER(TRIM(cloudSense[[#This Row],[service_name]]))</f>
        <v>EC2</v>
      </c>
      <c r="K32" t="str">
        <f>LOWER(TRIM(cloudSense[[#This Row],[region]]))</f>
        <v>us-east</v>
      </c>
      <c r="L32" t="str">
        <f>PROPER(TRIM(cloudSense[[#This Row],[resource_status]]))</f>
        <v>Idle</v>
      </c>
      <c r="N32">
        <f>cloudSense[[#This Row],[allocated_cost]]-cloudSense[[#This Row],[actual_used_cost]]</f>
        <v>430</v>
      </c>
      <c r="O32" s="2">
        <f>(cloudSense[[#This Row],[allocated_cost]]-cloudSense[[#This Row],[actual_used_cost]])/cloudSense[[#This Row],[allocated_cost]]*100</f>
        <v>86</v>
      </c>
    </row>
    <row r="33" spans="1:15" x14ac:dyDescent="0.3">
      <c r="A33">
        <v>32</v>
      </c>
      <c r="B33" s="1">
        <v>45673</v>
      </c>
      <c r="C33" t="s">
        <v>17</v>
      </c>
      <c r="D33" t="s">
        <v>20</v>
      </c>
      <c r="E33">
        <v>75</v>
      </c>
      <c r="F33">
        <v>360</v>
      </c>
      <c r="G33">
        <v>600</v>
      </c>
      <c r="H33">
        <v>595</v>
      </c>
      <c r="I33" t="s">
        <v>14</v>
      </c>
      <c r="J33" t="str">
        <f>UPPER(TRIM(cloudSense[[#This Row],[service_name]]))</f>
        <v>RDS</v>
      </c>
      <c r="K33" t="str">
        <f>LOWER(TRIM(cloudSense[[#This Row],[region]]))</f>
        <v>asia-south</v>
      </c>
      <c r="L33" t="str">
        <f>PROPER(TRIM(cloudSense[[#This Row],[resource_status]]))</f>
        <v>Active</v>
      </c>
      <c r="N33">
        <f>cloudSense[[#This Row],[allocated_cost]]-cloudSense[[#This Row],[actual_used_cost]]</f>
        <v>5</v>
      </c>
      <c r="O33" s="2">
        <f>(cloudSense[[#This Row],[allocated_cost]]-cloudSense[[#This Row],[actual_used_cost]])/cloudSense[[#This Row],[allocated_cost]]*100</f>
        <v>0.83333333333333337</v>
      </c>
    </row>
    <row r="34" spans="1:15" x14ac:dyDescent="0.3">
      <c r="A34">
        <v>33</v>
      </c>
      <c r="B34" s="1">
        <v>45674</v>
      </c>
      <c r="C34" t="s">
        <v>19</v>
      </c>
      <c r="D34" t="s">
        <v>13</v>
      </c>
      <c r="E34">
        <v>2</v>
      </c>
      <c r="F34">
        <v>12</v>
      </c>
      <c r="G34">
        <v>200</v>
      </c>
      <c r="H34">
        <v>35</v>
      </c>
      <c r="I34" t="s">
        <v>11</v>
      </c>
      <c r="J34" t="str">
        <f>UPPER(TRIM(cloudSense[[#This Row],[service_name]]))</f>
        <v>LAMBDA</v>
      </c>
      <c r="K34" t="str">
        <f>LOWER(TRIM(cloudSense[[#This Row],[region]]))</f>
        <v>us-west</v>
      </c>
      <c r="L34" t="str">
        <f>PROPER(TRIM(cloudSense[[#This Row],[resource_status]]))</f>
        <v>Idle</v>
      </c>
      <c r="N34">
        <f>cloudSense[[#This Row],[allocated_cost]]-cloudSense[[#This Row],[actual_used_cost]]</f>
        <v>165</v>
      </c>
      <c r="O34" s="2">
        <f>(cloudSense[[#This Row],[allocated_cost]]-cloudSense[[#This Row],[actual_used_cost]])/cloudSense[[#This Row],[allocated_cost]]*100</f>
        <v>82.5</v>
      </c>
    </row>
    <row r="35" spans="1:15" x14ac:dyDescent="0.3">
      <c r="A35">
        <v>34</v>
      </c>
      <c r="B35" s="1">
        <v>45674</v>
      </c>
      <c r="C35" t="s">
        <v>12</v>
      </c>
      <c r="D35" t="s">
        <v>13</v>
      </c>
      <c r="E35">
        <v>90</v>
      </c>
      <c r="F35">
        <v>530</v>
      </c>
      <c r="G35">
        <v>700</v>
      </c>
      <c r="H35">
        <v>690</v>
      </c>
      <c r="I35" t="s">
        <v>14</v>
      </c>
      <c r="J35" t="str">
        <f>UPPER(TRIM(cloudSense[[#This Row],[service_name]]))</f>
        <v>S3</v>
      </c>
      <c r="K35" t="str">
        <f>LOWER(TRIM(cloudSense[[#This Row],[region]]))</f>
        <v>us-west</v>
      </c>
      <c r="L35" t="str">
        <f>PROPER(TRIM(cloudSense[[#This Row],[resource_status]]))</f>
        <v>Active</v>
      </c>
      <c r="N35">
        <f>cloudSense[[#This Row],[allocated_cost]]-cloudSense[[#This Row],[actual_used_cost]]</f>
        <v>10</v>
      </c>
      <c r="O35" s="2">
        <f>(cloudSense[[#This Row],[allocated_cost]]-cloudSense[[#This Row],[actual_used_cost]])/cloudSense[[#This Row],[allocated_cost]]*100</f>
        <v>1.4285714285714286</v>
      </c>
    </row>
    <row r="36" spans="1:15" x14ac:dyDescent="0.3">
      <c r="A36">
        <v>35</v>
      </c>
      <c r="B36" s="1">
        <v>45675</v>
      </c>
      <c r="C36" t="s">
        <v>9</v>
      </c>
      <c r="D36" t="s">
        <v>10</v>
      </c>
      <c r="E36">
        <v>28</v>
      </c>
      <c r="F36">
        <v>145</v>
      </c>
      <c r="G36">
        <v>500</v>
      </c>
      <c r="H36">
        <v>270</v>
      </c>
      <c r="I36" t="s">
        <v>14</v>
      </c>
      <c r="J36" t="str">
        <f>UPPER(TRIM(cloudSense[[#This Row],[service_name]]))</f>
        <v>EC2</v>
      </c>
      <c r="K36" t="str">
        <f>LOWER(TRIM(cloudSense[[#This Row],[region]]))</f>
        <v>us-east</v>
      </c>
      <c r="L36" t="str">
        <f>PROPER(TRIM(cloudSense[[#This Row],[resource_status]]))</f>
        <v>Active</v>
      </c>
      <c r="N36">
        <f>cloudSense[[#This Row],[allocated_cost]]-cloudSense[[#This Row],[actual_used_cost]]</f>
        <v>230</v>
      </c>
      <c r="O36" s="2">
        <f>(cloudSense[[#This Row],[allocated_cost]]-cloudSense[[#This Row],[actual_used_cost]])/cloudSense[[#This Row],[allocated_cost]]*100</f>
        <v>46</v>
      </c>
    </row>
    <row r="37" spans="1:15" x14ac:dyDescent="0.3">
      <c r="A37">
        <v>36</v>
      </c>
      <c r="B37" s="1">
        <v>45675</v>
      </c>
      <c r="C37" t="s">
        <v>17</v>
      </c>
      <c r="D37" t="s">
        <v>18</v>
      </c>
      <c r="F37">
        <v>275</v>
      </c>
      <c r="G37">
        <v>600</v>
      </c>
      <c r="H37">
        <v>390</v>
      </c>
      <c r="I37" t="s">
        <v>11</v>
      </c>
      <c r="J37" t="str">
        <f>UPPER(TRIM(cloudSense[[#This Row],[service_name]]))</f>
        <v>RDS</v>
      </c>
      <c r="K37" t="str">
        <f>LOWER(TRIM(cloudSense[[#This Row],[region]]))</f>
        <v>eu-central</v>
      </c>
      <c r="L37" t="str">
        <f>PROPER(TRIM(cloudSense[[#This Row],[resource_status]]))</f>
        <v>Idle</v>
      </c>
      <c r="N37">
        <f>cloudSense[[#This Row],[allocated_cost]]-cloudSense[[#This Row],[actual_used_cost]]</f>
        <v>210</v>
      </c>
      <c r="O37" s="2">
        <f>(cloudSense[[#This Row],[allocated_cost]]-cloudSense[[#This Row],[actual_used_cost]])/cloudSense[[#This Row],[allocated_cost]]*100</f>
        <v>35</v>
      </c>
    </row>
    <row r="38" spans="1:15" x14ac:dyDescent="0.3">
      <c r="A38">
        <v>37</v>
      </c>
      <c r="B38" s="1">
        <v>45676</v>
      </c>
      <c r="C38" t="s">
        <v>19</v>
      </c>
      <c r="D38" t="s">
        <v>20</v>
      </c>
      <c r="E38">
        <v>7</v>
      </c>
      <c r="F38">
        <v>28</v>
      </c>
      <c r="G38">
        <v>200</v>
      </c>
      <c r="H38">
        <v>60</v>
      </c>
      <c r="I38" t="s">
        <v>11</v>
      </c>
      <c r="J38" t="str">
        <f>UPPER(TRIM(cloudSense[[#This Row],[service_name]]))</f>
        <v>LAMBDA</v>
      </c>
      <c r="K38" t="str">
        <f>LOWER(TRIM(cloudSense[[#This Row],[region]]))</f>
        <v>asia-south</v>
      </c>
      <c r="L38" t="str">
        <f>PROPER(TRIM(cloudSense[[#This Row],[resource_status]]))</f>
        <v>Idle</v>
      </c>
      <c r="N38">
        <f>cloudSense[[#This Row],[allocated_cost]]-cloudSense[[#This Row],[actual_used_cost]]</f>
        <v>140</v>
      </c>
      <c r="O38" s="2">
        <f>(cloudSense[[#This Row],[allocated_cost]]-cloudSense[[#This Row],[actual_used_cost]])/cloudSense[[#This Row],[allocated_cost]]*100</f>
        <v>70</v>
      </c>
    </row>
    <row r="39" spans="1:15" x14ac:dyDescent="0.3">
      <c r="A39">
        <v>38</v>
      </c>
      <c r="B39" s="1">
        <v>45676</v>
      </c>
      <c r="C39" t="s">
        <v>12</v>
      </c>
      <c r="D39" t="s">
        <v>13</v>
      </c>
      <c r="E39">
        <v>93</v>
      </c>
      <c r="F39">
        <v>560</v>
      </c>
      <c r="G39">
        <v>700</v>
      </c>
      <c r="H39">
        <v>700</v>
      </c>
      <c r="I39" t="s">
        <v>14</v>
      </c>
      <c r="J39" t="str">
        <f>UPPER(TRIM(cloudSense[[#This Row],[service_name]]))</f>
        <v>S3</v>
      </c>
      <c r="K39" t="str">
        <f>LOWER(TRIM(cloudSense[[#This Row],[region]]))</f>
        <v>us-west</v>
      </c>
      <c r="L39" t="str">
        <f>PROPER(TRIM(cloudSense[[#This Row],[resource_status]]))</f>
        <v>Active</v>
      </c>
      <c r="N39">
        <f>cloudSense[[#This Row],[allocated_cost]]-cloudSense[[#This Row],[actual_used_cost]]</f>
        <v>0</v>
      </c>
      <c r="O39" s="2">
        <f>(cloudSense[[#This Row],[allocated_cost]]-cloudSense[[#This Row],[actual_used_cost]])/cloudSense[[#This Row],[allocated_cost]]*100</f>
        <v>0</v>
      </c>
    </row>
    <row r="40" spans="1:15" x14ac:dyDescent="0.3">
      <c r="A40">
        <v>39</v>
      </c>
      <c r="B40" s="1">
        <v>45677</v>
      </c>
      <c r="C40" t="s">
        <v>15</v>
      </c>
      <c r="D40" t="s">
        <v>10</v>
      </c>
      <c r="E40">
        <v>14</v>
      </c>
      <c r="F40">
        <v>105</v>
      </c>
      <c r="G40">
        <v>500</v>
      </c>
      <c r="H40">
        <v>160</v>
      </c>
      <c r="I40" t="s">
        <v>16</v>
      </c>
      <c r="J40" t="str">
        <f>UPPER(TRIM(cloudSense[[#This Row],[service_name]]))</f>
        <v>EC2</v>
      </c>
      <c r="K40" t="str">
        <f>LOWER(TRIM(cloudSense[[#This Row],[region]]))</f>
        <v>us-east</v>
      </c>
      <c r="L40" t="str">
        <f>PROPER(TRIM(cloudSense[[#This Row],[resource_status]]))</f>
        <v>Idle</v>
      </c>
      <c r="N40">
        <f>cloudSense[[#This Row],[allocated_cost]]-cloudSense[[#This Row],[actual_used_cost]]</f>
        <v>340</v>
      </c>
      <c r="O40" s="2">
        <f>(cloudSense[[#This Row],[allocated_cost]]-cloudSense[[#This Row],[actual_used_cost]])/cloudSense[[#This Row],[allocated_cost]]*100</f>
        <v>68</v>
      </c>
    </row>
    <row r="41" spans="1:15" x14ac:dyDescent="0.3">
      <c r="A41">
        <v>40</v>
      </c>
      <c r="B41" s="1">
        <v>45677</v>
      </c>
      <c r="C41" t="s">
        <v>17</v>
      </c>
      <c r="D41" t="s">
        <v>21</v>
      </c>
      <c r="E41">
        <v>62</v>
      </c>
      <c r="F41">
        <v>315</v>
      </c>
      <c r="G41">
        <v>600</v>
      </c>
      <c r="H41">
        <v>575</v>
      </c>
      <c r="I41" t="s">
        <v>14</v>
      </c>
      <c r="J41" t="str">
        <f>UPPER(TRIM(cloudSense[[#This Row],[service_name]]))</f>
        <v>RDS</v>
      </c>
      <c r="K41" t="str">
        <f>LOWER(TRIM(cloudSense[[#This Row],[region]]))</f>
        <v>eu-central</v>
      </c>
      <c r="L41" t="str">
        <f>PROPER(TRIM(cloudSense[[#This Row],[resource_status]]))</f>
        <v>Active</v>
      </c>
      <c r="N41">
        <f>cloudSense[[#This Row],[allocated_cost]]-cloudSense[[#This Row],[actual_used_cost]]</f>
        <v>25</v>
      </c>
      <c r="O41" s="2">
        <f>(cloudSense[[#This Row],[allocated_cost]]-cloudSense[[#This Row],[actual_used_cost]])/cloudSense[[#This Row],[allocated_cost]]*100</f>
        <v>4.1666666666666661</v>
      </c>
    </row>
    <row r="42" spans="1:15" x14ac:dyDescent="0.3">
      <c r="A42">
        <v>41</v>
      </c>
      <c r="B42" s="1">
        <v>45678</v>
      </c>
      <c r="C42" t="s">
        <v>9</v>
      </c>
      <c r="D42" t="s">
        <v>10</v>
      </c>
      <c r="E42">
        <v>32</v>
      </c>
      <c r="F42">
        <v>165</v>
      </c>
      <c r="G42">
        <v>500</v>
      </c>
      <c r="H42">
        <v>285</v>
      </c>
      <c r="I42" t="s">
        <v>14</v>
      </c>
      <c r="J42" t="str">
        <f>UPPER(TRIM(cloudSense[[#This Row],[service_name]]))</f>
        <v>EC2</v>
      </c>
      <c r="K42" t="str">
        <f>LOWER(TRIM(cloudSense[[#This Row],[region]]))</f>
        <v>us-east</v>
      </c>
      <c r="L42" t="str">
        <f>PROPER(TRIM(cloudSense[[#This Row],[resource_status]]))</f>
        <v>Active</v>
      </c>
      <c r="N42">
        <f>cloudSense[[#This Row],[allocated_cost]]-cloudSense[[#This Row],[actual_used_cost]]</f>
        <v>215</v>
      </c>
      <c r="O42" s="2">
        <f>(cloudSense[[#This Row],[allocated_cost]]-cloudSense[[#This Row],[actual_used_cost]])/cloudSense[[#This Row],[allocated_cost]]*100</f>
        <v>43</v>
      </c>
    </row>
    <row r="43" spans="1:15" x14ac:dyDescent="0.3">
      <c r="A43">
        <v>42</v>
      </c>
      <c r="B43" s="1">
        <v>45678</v>
      </c>
      <c r="C43" t="s">
        <v>12</v>
      </c>
      <c r="D43" t="s">
        <v>13</v>
      </c>
      <c r="E43">
        <v>72</v>
      </c>
      <c r="F43">
        <v>440</v>
      </c>
      <c r="G43">
        <v>700</v>
      </c>
      <c r="H43">
        <v>630</v>
      </c>
      <c r="I43" t="s">
        <v>14</v>
      </c>
      <c r="J43" t="str">
        <f>UPPER(TRIM(cloudSense[[#This Row],[service_name]]))</f>
        <v>S3</v>
      </c>
      <c r="K43" t="str">
        <f>LOWER(TRIM(cloudSense[[#This Row],[region]]))</f>
        <v>us-west</v>
      </c>
      <c r="L43" t="str">
        <f>PROPER(TRIM(cloudSense[[#This Row],[resource_status]]))</f>
        <v>Active</v>
      </c>
      <c r="N43">
        <f>cloudSense[[#This Row],[allocated_cost]]-cloudSense[[#This Row],[actual_used_cost]]</f>
        <v>70</v>
      </c>
      <c r="O43" s="2">
        <f>(cloudSense[[#This Row],[allocated_cost]]-cloudSense[[#This Row],[actual_used_cost]])/cloudSense[[#This Row],[allocated_cost]]*100</f>
        <v>10</v>
      </c>
    </row>
    <row r="44" spans="1:15" x14ac:dyDescent="0.3">
      <c r="A44">
        <v>43</v>
      </c>
      <c r="B44" s="1">
        <v>45679</v>
      </c>
      <c r="C44" t="s">
        <v>15</v>
      </c>
      <c r="D44" t="s">
        <v>10</v>
      </c>
      <c r="E44">
        <v>11</v>
      </c>
      <c r="F44">
        <v>98</v>
      </c>
      <c r="G44">
        <v>500</v>
      </c>
      <c r="H44">
        <v>110</v>
      </c>
      <c r="I44" t="s">
        <v>11</v>
      </c>
      <c r="J44" t="str">
        <f>UPPER(TRIM(cloudSense[[#This Row],[service_name]]))</f>
        <v>EC2</v>
      </c>
      <c r="K44" t="str">
        <f>LOWER(TRIM(cloudSense[[#This Row],[region]]))</f>
        <v>us-east</v>
      </c>
      <c r="L44" t="str">
        <f>PROPER(TRIM(cloudSense[[#This Row],[resource_status]]))</f>
        <v>Idle</v>
      </c>
      <c r="N44">
        <f>cloudSense[[#This Row],[allocated_cost]]-cloudSense[[#This Row],[actual_used_cost]]</f>
        <v>390</v>
      </c>
      <c r="O44" s="2">
        <f>(cloudSense[[#This Row],[allocated_cost]]-cloudSense[[#This Row],[actual_used_cost]])/cloudSense[[#This Row],[allocated_cost]]*100</f>
        <v>78</v>
      </c>
    </row>
    <row r="45" spans="1:15" x14ac:dyDescent="0.3">
      <c r="A45">
        <v>44</v>
      </c>
      <c r="B45" s="1">
        <v>45679</v>
      </c>
      <c r="C45" t="s">
        <v>17</v>
      </c>
      <c r="D45" t="s">
        <v>18</v>
      </c>
      <c r="E45">
        <v>58</v>
      </c>
      <c r="F45">
        <v>295</v>
      </c>
      <c r="G45">
        <v>600</v>
      </c>
      <c r="H45">
        <v>505</v>
      </c>
      <c r="I45" t="s">
        <v>14</v>
      </c>
      <c r="J45" t="str">
        <f>UPPER(TRIM(cloudSense[[#This Row],[service_name]]))</f>
        <v>RDS</v>
      </c>
      <c r="K45" t="str">
        <f>LOWER(TRIM(cloudSense[[#This Row],[region]]))</f>
        <v>eu-central</v>
      </c>
      <c r="L45" t="str">
        <f>PROPER(TRIM(cloudSense[[#This Row],[resource_status]]))</f>
        <v>Active</v>
      </c>
      <c r="N45">
        <f>cloudSense[[#This Row],[allocated_cost]]-cloudSense[[#This Row],[actual_used_cost]]</f>
        <v>95</v>
      </c>
      <c r="O45" s="2">
        <f>(cloudSense[[#This Row],[allocated_cost]]-cloudSense[[#This Row],[actual_used_cost]])/cloudSense[[#This Row],[allocated_cost]]*100</f>
        <v>15.833333333333332</v>
      </c>
    </row>
    <row r="46" spans="1:15" x14ac:dyDescent="0.3">
      <c r="A46">
        <v>45</v>
      </c>
      <c r="B46" s="1">
        <v>45680</v>
      </c>
      <c r="C46" t="s">
        <v>19</v>
      </c>
      <c r="D46" t="s">
        <v>20</v>
      </c>
      <c r="E46">
        <v>5</v>
      </c>
      <c r="F46">
        <v>20</v>
      </c>
      <c r="G46">
        <v>200</v>
      </c>
      <c r="H46">
        <v>50</v>
      </c>
      <c r="I46" t="s">
        <v>11</v>
      </c>
      <c r="J46" t="str">
        <f>UPPER(TRIM(cloudSense[[#This Row],[service_name]]))</f>
        <v>LAMBDA</v>
      </c>
      <c r="K46" t="str">
        <f>LOWER(TRIM(cloudSense[[#This Row],[region]]))</f>
        <v>asia-south</v>
      </c>
      <c r="L46" t="str">
        <f>PROPER(TRIM(cloudSense[[#This Row],[resource_status]]))</f>
        <v>Idle</v>
      </c>
      <c r="N46">
        <f>cloudSense[[#This Row],[allocated_cost]]-cloudSense[[#This Row],[actual_used_cost]]</f>
        <v>150</v>
      </c>
      <c r="O46" s="2">
        <f>(cloudSense[[#This Row],[allocated_cost]]-cloudSense[[#This Row],[actual_used_cost]])/cloudSense[[#This Row],[allocated_cost]]*100</f>
        <v>75</v>
      </c>
    </row>
    <row r="47" spans="1:15" x14ac:dyDescent="0.3">
      <c r="A47">
        <v>46</v>
      </c>
      <c r="B47" s="1">
        <v>45680</v>
      </c>
      <c r="C47" t="s">
        <v>12</v>
      </c>
      <c r="D47" t="s">
        <v>13</v>
      </c>
      <c r="E47">
        <v>82</v>
      </c>
      <c r="F47">
        <v>485</v>
      </c>
      <c r="G47">
        <v>700</v>
      </c>
      <c r="H47">
        <v>655</v>
      </c>
      <c r="I47" t="s">
        <v>14</v>
      </c>
      <c r="J47" t="str">
        <f>UPPER(TRIM(cloudSense[[#This Row],[service_name]]))</f>
        <v>S3</v>
      </c>
      <c r="K47" t="str">
        <f>LOWER(TRIM(cloudSense[[#This Row],[region]]))</f>
        <v>us-west</v>
      </c>
      <c r="L47" t="str">
        <f>PROPER(TRIM(cloudSense[[#This Row],[resource_status]]))</f>
        <v>Active</v>
      </c>
      <c r="N47">
        <f>cloudSense[[#This Row],[allocated_cost]]-cloudSense[[#This Row],[actual_used_cost]]</f>
        <v>45</v>
      </c>
      <c r="O47" s="2">
        <f>(cloudSense[[#This Row],[allocated_cost]]-cloudSense[[#This Row],[actual_used_cost]])/cloudSense[[#This Row],[allocated_cost]]*100</f>
        <v>6.4285714285714279</v>
      </c>
    </row>
    <row r="48" spans="1:15" x14ac:dyDescent="0.3">
      <c r="A48">
        <v>47</v>
      </c>
      <c r="B48" s="1">
        <v>45681</v>
      </c>
      <c r="C48" t="s">
        <v>9</v>
      </c>
      <c r="D48" t="s">
        <v>10</v>
      </c>
      <c r="E48">
        <v>37</v>
      </c>
      <c r="F48">
        <v>175</v>
      </c>
      <c r="G48">
        <v>500</v>
      </c>
      <c r="H48">
        <v>330</v>
      </c>
      <c r="I48" t="s">
        <v>14</v>
      </c>
      <c r="J48" t="str">
        <f>UPPER(TRIM(cloudSense[[#This Row],[service_name]]))</f>
        <v>EC2</v>
      </c>
      <c r="K48" t="str">
        <f>LOWER(TRIM(cloudSense[[#This Row],[region]]))</f>
        <v>us-east</v>
      </c>
      <c r="L48" t="str">
        <f>PROPER(TRIM(cloudSense[[#This Row],[resource_status]]))</f>
        <v>Active</v>
      </c>
      <c r="N48">
        <f>cloudSense[[#This Row],[allocated_cost]]-cloudSense[[#This Row],[actual_used_cost]]</f>
        <v>170</v>
      </c>
      <c r="O48" s="2">
        <f>(cloudSense[[#This Row],[allocated_cost]]-cloudSense[[#This Row],[actual_used_cost]])/cloudSense[[#This Row],[allocated_cost]]*100</f>
        <v>34</v>
      </c>
    </row>
    <row r="49" spans="1:15" x14ac:dyDescent="0.3">
      <c r="A49">
        <v>48</v>
      </c>
      <c r="B49" s="1">
        <v>45681</v>
      </c>
      <c r="C49" t="s">
        <v>17</v>
      </c>
      <c r="D49" t="s">
        <v>21</v>
      </c>
      <c r="E49">
        <v>22</v>
      </c>
      <c r="F49">
        <v>215</v>
      </c>
      <c r="G49">
        <v>600</v>
      </c>
      <c r="H49">
        <v>170</v>
      </c>
      <c r="I49" t="s">
        <v>11</v>
      </c>
      <c r="J49" t="str">
        <f>UPPER(TRIM(cloudSense[[#This Row],[service_name]]))</f>
        <v>RDS</v>
      </c>
      <c r="K49" t="str">
        <f>LOWER(TRIM(cloudSense[[#This Row],[region]]))</f>
        <v>eu-central</v>
      </c>
      <c r="L49" t="str">
        <f>PROPER(TRIM(cloudSense[[#This Row],[resource_status]]))</f>
        <v>Idle</v>
      </c>
      <c r="N49">
        <f>cloudSense[[#This Row],[allocated_cost]]-cloudSense[[#This Row],[actual_used_cost]]</f>
        <v>430</v>
      </c>
      <c r="O49" s="2">
        <f>(cloudSense[[#This Row],[allocated_cost]]-cloudSense[[#This Row],[actual_used_cost]])/cloudSense[[#This Row],[allocated_cost]]*100</f>
        <v>71.666666666666671</v>
      </c>
    </row>
    <row r="50" spans="1:15" x14ac:dyDescent="0.3">
      <c r="A50">
        <v>49</v>
      </c>
      <c r="B50" s="1">
        <v>45682</v>
      </c>
      <c r="C50" t="s">
        <v>9</v>
      </c>
      <c r="D50" t="s">
        <v>10</v>
      </c>
      <c r="E50">
        <v>88</v>
      </c>
      <c r="F50">
        <v>265</v>
      </c>
      <c r="G50">
        <v>500</v>
      </c>
      <c r="H50">
        <v>475</v>
      </c>
      <c r="I50" t="s">
        <v>14</v>
      </c>
      <c r="J50" t="str">
        <f>UPPER(TRIM(cloudSense[[#This Row],[service_name]]))</f>
        <v>EC2</v>
      </c>
      <c r="K50" t="str">
        <f>LOWER(TRIM(cloudSense[[#This Row],[region]]))</f>
        <v>us-east</v>
      </c>
      <c r="L50" t="str">
        <f>PROPER(TRIM(cloudSense[[#This Row],[resource_status]]))</f>
        <v>Active</v>
      </c>
      <c r="N50">
        <f>cloudSense[[#This Row],[allocated_cost]]-cloudSense[[#This Row],[actual_used_cost]]</f>
        <v>25</v>
      </c>
      <c r="O50" s="2">
        <f>(cloudSense[[#This Row],[allocated_cost]]-cloudSense[[#This Row],[actual_used_cost]])/cloudSense[[#This Row],[allocated_cost]]*100</f>
        <v>5</v>
      </c>
    </row>
    <row r="51" spans="1:15" x14ac:dyDescent="0.3">
      <c r="A51">
        <v>50</v>
      </c>
      <c r="B51" s="1">
        <v>45682</v>
      </c>
      <c r="C51" t="s">
        <v>12</v>
      </c>
      <c r="D51" t="s">
        <v>13</v>
      </c>
      <c r="E51">
        <v>53</v>
      </c>
      <c r="F51">
        <v>515</v>
      </c>
      <c r="G51">
        <v>700</v>
      </c>
      <c r="H51">
        <v>430</v>
      </c>
      <c r="I51" t="s">
        <v>14</v>
      </c>
      <c r="J51" t="str">
        <f>UPPER(TRIM(cloudSense[[#This Row],[service_name]]))</f>
        <v>S3</v>
      </c>
      <c r="K51" t="str">
        <f>LOWER(TRIM(cloudSense[[#This Row],[region]]))</f>
        <v>us-west</v>
      </c>
      <c r="L51" t="str">
        <f>PROPER(TRIM(cloudSense[[#This Row],[resource_status]]))</f>
        <v>Active</v>
      </c>
      <c r="N51">
        <f>cloudSense[[#This Row],[allocated_cost]]-cloudSense[[#This Row],[actual_used_cost]]</f>
        <v>270</v>
      </c>
      <c r="O51" s="2">
        <f>(cloudSense[[#This Row],[allocated_cost]]-cloudSense[[#This Row],[actual_used_cost]])/cloudSense[[#This Row],[allocated_cost]]*100</f>
        <v>38.571428571428577</v>
      </c>
    </row>
    <row r="52" spans="1:15" x14ac:dyDescent="0.3">
      <c r="A52">
        <v>51</v>
      </c>
      <c r="B52" s="1">
        <v>45683</v>
      </c>
      <c r="C52" t="s">
        <v>15</v>
      </c>
      <c r="D52" t="s">
        <v>10</v>
      </c>
      <c r="E52">
        <v>10</v>
      </c>
      <c r="F52">
        <v>90</v>
      </c>
      <c r="G52">
        <v>500</v>
      </c>
      <c r="H52">
        <v>95</v>
      </c>
      <c r="I52" t="s">
        <v>11</v>
      </c>
      <c r="J52" t="str">
        <f>UPPER(TRIM(cloudSense[[#This Row],[service_name]]))</f>
        <v>EC2</v>
      </c>
      <c r="K52" t="str">
        <f>LOWER(TRIM(cloudSense[[#This Row],[region]]))</f>
        <v>us-east</v>
      </c>
      <c r="L52" t="str">
        <f>PROPER(TRIM(cloudSense[[#This Row],[resource_status]]))</f>
        <v>Idle</v>
      </c>
      <c r="N52">
        <f>cloudSense[[#This Row],[allocated_cost]]-cloudSense[[#This Row],[actual_used_cost]]</f>
        <v>405</v>
      </c>
      <c r="O52" s="2">
        <f>(cloudSense[[#This Row],[allocated_cost]]-cloudSense[[#This Row],[actual_used_cost]])/cloudSense[[#This Row],[allocated_cost]]*100</f>
        <v>81</v>
      </c>
    </row>
    <row r="53" spans="1:15" x14ac:dyDescent="0.3">
      <c r="A53">
        <v>52</v>
      </c>
      <c r="B53" s="1">
        <v>45683</v>
      </c>
      <c r="C53" t="s">
        <v>17</v>
      </c>
      <c r="D53" t="s">
        <v>20</v>
      </c>
      <c r="E53">
        <v>78</v>
      </c>
      <c r="F53">
        <v>370</v>
      </c>
      <c r="G53">
        <v>600</v>
      </c>
      <c r="H53">
        <v>598</v>
      </c>
      <c r="I53" t="s">
        <v>14</v>
      </c>
      <c r="J53" t="str">
        <f>UPPER(TRIM(cloudSense[[#This Row],[service_name]]))</f>
        <v>RDS</v>
      </c>
      <c r="K53" t="str">
        <f>LOWER(TRIM(cloudSense[[#This Row],[region]]))</f>
        <v>asia-south</v>
      </c>
      <c r="L53" t="str">
        <f>PROPER(TRIM(cloudSense[[#This Row],[resource_status]]))</f>
        <v>Active</v>
      </c>
      <c r="N53">
        <f>cloudSense[[#This Row],[allocated_cost]]-cloudSense[[#This Row],[actual_used_cost]]</f>
        <v>2</v>
      </c>
      <c r="O53" s="2">
        <f>(cloudSense[[#This Row],[allocated_cost]]-cloudSense[[#This Row],[actual_used_cost]])/cloudSense[[#This Row],[allocated_cost]]*100</f>
        <v>0.33333333333333337</v>
      </c>
    </row>
    <row r="54" spans="1:15" x14ac:dyDescent="0.3">
      <c r="A54">
        <v>53</v>
      </c>
      <c r="B54" s="1">
        <v>45684</v>
      </c>
      <c r="C54" t="s">
        <v>19</v>
      </c>
      <c r="D54" t="s">
        <v>13</v>
      </c>
      <c r="E54">
        <v>3</v>
      </c>
      <c r="F54">
        <v>14</v>
      </c>
      <c r="G54">
        <v>200</v>
      </c>
      <c r="H54">
        <v>38</v>
      </c>
      <c r="I54" t="s">
        <v>11</v>
      </c>
      <c r="J54" t="str">
        <f>UPPER(TRIM(cloudSense[[#This Row],[service_name]]))</f>
        <v>LAMBDA</v>
      </c>
      <c r="K54" t="str">
        <f>LOWER(TRIM(cloudSense[[#This Row],[region]]))</f>
        <v>us-west</v>
      </c>
      <c r="L54" t="str">
        <f>PROPER(TRIM(cloudSense[[#This Row],[resource_status]]))</f>
        <v>Idle</v>
      </c>
      <c r="N54">
        <f>cloudSense[[#This Row],[allocated_cost]]-cloudSense[[#This Row],[actual_used_cost]]</f>
        <v>162</v>
      </c>
      <c r="O54" s="2">
        <f>(cloudSense[[#This Row],[allocated_cost]]-cloudSense[[#This Row],[actual_used_cost]])/cloudSense[[#This Row],[allocated_cost]]*100</f>
        <v>81</v>
      </c>
    </row>
    <row r="55" spans="1:15" x14ac:dyDescent="0.3">
      <c r="A55">
        <v>54</v>
      </c>
      <c r="B55" s="1">
        <v>45684</v>
      </c>
      <c r="C55" t="s">
        <v>12</v>
      </c>
      <c r="D55" t="s">
        <v>13</v>
      </c>
      <c r="E55">
        <v>91</v>
      </c>
      <c r="F55">
        <v>535</v>
      </c>
      <c r="G55">
        <v>700</v>
      </c>
      <c r="H55">
        <v>695</v>
      </c>
      <c r="I55" t="s">
        <v>14</v>
      </c>
      <c r="J55" t="str">
        <f>UPPER(TRIM(cloudSense[[#This Row],[service_name]]))</f>
        <v>S3</v>
      </c>
      <c r="K55" t="str">
        <f>LOWER(TRIM(cloudSense[[#This Row],[region]]))</f>
        <v>us-west</v>
      </c>
      <c r="L55" t="str">
        <f>PROPER(TRIM(cloudSense[[#This Row],[resource_status]]))</f>
        <v>Active</v>
      </c>
      <c r="N55">
        <f>cloudSense[[#This Row],[allocated_cost]]-cloudSense[[#This Row],[actual_used_cost]]</f>
        <v>5</v>
      </c>
      <c r="O55" s="2">
        <f>(cloudSense[[#This Row],[allocated_cost]]-cloudSense[[#This Row],[actual_used_cost]])/cloudSense[[#This Row],[allocated_cost]]*100</f>
        <v>0.7142857142857143</v>
      </c>
    </row>
    <row r="56" spans="1:15" x14ac:dyDescent="0.3">
      <c r="A56">
        <v>55</v>
      </c>
      <c r="B56" s="1">
        <v>45685</v>
      </c>
      <c r="C56" t="s">
        <v>9</v>
      </c>
      <c r="D56" t="s">
        <v>10</v>
      </c>
      <c r="E56">
        <v>29</v>
      </c>
      <c r="F56">
        <v>148</v>
      </c>
      <c r="G56">
        <v>500</v>
      </c>
      <c r="H56">
        <v>275</v>
      </c>
      <c r="I56" t="s">
        <v>14</v>
      </c>
      <c r="J56" t="str">
        <f>UPPER(TRIM(cloudSense[[#This Row],[service_name]]))</f>
        <v>EC2</v>
      </c>
      <c r="K56" t="str">
        <f>LOWER(TRIM(cloudSense[[#This Row],[region]]))</f>
        <v>us-east</v>
      </c>
      <c r="L56" t="str">
        <f>PROPER(TRIM(cloudSense[[#This Row],[resource_status]]))</f>
        <v>Active</v>
      </c>
      <c r="N56">
        <f>cloudSense[[#This Row],[allocated_cost]]-cloudSense[[#This Row],[actual_used_cost]]</f>
        <v>225</v>
      </c>
      <c r="O56" s="2">
        <f>(cloudSense[[#This Row],[allocated_cost]]-cloudSense[[#This Row],[actual_used_cost]])/cloudSense[[#This Row],[allocated_cost]]*100</f>
        <v>45</v>
      </c>
    </row>
    <row r="57" spans="1:15" x14ac:dyDescent="0.3">
      <c r="A57">
        <v>56</v>
      </c>
      <c r="B57" s="1">
        <v>45685</v>
      </c>
      <c r="C57" t="s">
        <v>17</v>
      </c>
      <c r="D57" t="s">
        <v>18</v>
      </c>
      <c r="F57">
        <v>278</v>
      </c>
      <c r="G57">
        <v>600</v>
      </c>
      <c r="H57">
        <v>395</v>
      </c>
      <c r="I57" t="s">
        <v>11</v>
      </c>
      <c r="J57" t="str">
        <f>UPPER(TRIM(cloudSense[[#This Row],[service_name]]))</f>
        <v>RDS</v>
      </c>
      <c r="K57" t="str">
        <f>LOWER(TRIM(cloudSense[[#This Row],[region]]))</f>
        <v>eu-central</v>
      </c>
      <c r="L57" t="str">
        <f>PROPER(TRIM(cloudSense[[#This Row],[resource_status]]))</f>
        <v>Idle</v>
      </c>
      <c r="N57">
        <f>cloudSense[[#This Row],[allocated_cost]]-cloudSense[[#This Row],[actual_used_cost]]</f>
        <v>205</v>
      </c>
      <c r="O57" s="2">
        <f>(cloudSense[[#This Row],[allocated_cost]]-cloudSense[[#This Row],[actual_used_cost]])/cloudSense[[#This Row],[allocated_cost]]*100</f>
        <v>34.166666666666664</v>
      </c>
    </row>
    <row r="58" spans="1:15" x14ac:dyDescent="0.3">
      <c r="A58">
        <v>57</v>
      </c>
      <c r="B58" s="1">
        <v>45686</v>
      </c>
      <c r="C58" t="s">
        <v>19</v>
      </c>
      <c r="D58" t="s">
        <v>20</v>
      </c>
      <c r="E58">
        <v>6</v>
      </c>
      <c r="F58">
        <v>26</v>
      </c>
      <c r="G58">
        <v>200</v>
      </c>
      <c r="H58">
        <v>58</v>
      </c>
      <c r="I58" t="s">
        <v>11</v>
      </c>
      <c r="J58" t="str">
        <f>UPPER(TRIM(cloudSense[[#This Row],[service_name]]))</f>
        <v>LAMBDA</v>
      </c>
      <c r="K58" t="str">
        <f>LOWER(TRIM(cloudSense[[#This Row],[region]]))</f>
        <v>asia-south</v>
      </c>
      <c r="L58" t="str">
        <f>PROPER(TRIM(cloudSense[[#This Row],[resource_status]]))</f>
        <v>Idle</v>
      </c>
      <c r="N58">
        <f>cloudSense[[#This Row],[allocated_cost]]-cloudSense[[#This Row],[actual_used_cost]]</f>
        <v>142</v>
      </c>
      <c r="O58" s="2">
        <f>(cloudSense[[#This Row],[allocated_cost]]-cloudSense[[#This Row],[actual_used_cost]])/cloudSense[[#This Row],[allocated_cost]]*100</f>
        <v>71</v>
      </c>
    </row>
    <row r="59" spans="1:15" x14ac:dyDescent="0.3">
      <c r="A59">
        <v>58</v>
      </c>
      <c r="B59" s="1">
        <v>45686</v>
      </c>
      <c r="C59" t="s">
        <v>12</v>
      </c>
      <c r="D59" t="s">
        <v>13</v>
      </c>
      <c r="E59">
        <v>94</v>
      </c>
      <c r="F59">
        <v>565</v>
      </c>
      <c r="G59">
        <v>700</v>
      </c>
      <c r="H59">
        <v>700</v>
      </c>
      <c r="I59" t="s">
        <v>14</v>
      </c>
      <c r="J59" t="str">
        <f>UPPER(TRIM(cloudSense[[#This Row],[service_name]]))</f>
        <v>S3</v>
      </c>
      <c r="K59" t="str">
        <f>LOWER(TRIM(cloudSense[[#This Row],[region]]))</f>
        <v>us-west</v>
      </c>
      <c r="L59" t="str">
        <f>PROPER(TRIM(cloudSense[[#This Row],[resource_status]]))</f>
        <v>Active</v>
      </c>
      <c r="N59">
        <f>cloudSense[[#This Row],[allocated_cost]]-cloudSense[[#This Row],[actual_used_cost]]</f>
        <v>0</v>
      </c>
      <c r="O59" s="2">
        <f>(cloudSense[[#This Row],[allocated_cost]]-cloudSense[[#This Row],[actual_used_cost]])/cloudSense[[#This Row],[allocated_cost]]*100</f>
        <v>0</v>
      </c>
    </row>
    <row r="60" spans="1:15" x14ac:dyDescent="0.3">
      <c r="A60">
        <v>59</v>
      </c>
      <c r="B60" s="1">
        <v>45687</v>
      </c>
      <c r="C60" t="s">
        <v>15</v>
      </c>
      <c r="D60" t="s">
        <v>10</v>
      </c>
      <c r="E60">
        <v>16</v>
      </c>
      <c r="F60">
        <v>108</v>
      </c>
      <c r="G60">
        <v>500</v>
      </c>
      <c r="H60">
        <v>170</v>
      </c>
      <c r="I60" t="s">
        <v>16</v>
      </c>
      <c r="J60" t="str">
        <f>UPPER(TRIM(cloudSense[[#This Row],[service_name]]))</f>
        <v>EC2</v>
      </c>
      <c r="K60" t="str">
        <f>LOWER(TRIM(cloudSense[[#This Row],[region]]))</f>
        <v>us-east</v>
      </c>
      <c r="L60" t="str">
        <f>PROPER(TRIM(cloudSense[[#This Row],[resource_status]]))</f>
        <v>Idle</v>
      </c>
      <c r="N60">
        <f>cloudSense[[#This Row],[allocated_cost]]-cloudSense[[#This Row],[actual_used_cost]]</f>
        <v>330</v>
      </c>
      <c r="O60" s="2">
        <f>(cloudSense[[#This Row],[allocated_cost]]-cloudSense[[#This Row],[actual_used_cost]])/cloudSense[[#This Row],[allocated_cost]]*100</f>
        <v>66</v>
      </c>
    </row>
    <row r="61" spans="1:15" x14ac:dyDescent="0.3">
      <c r="A61">
        <v>60</v>
      </c>
      <c r="B61" s="1">
        <v>45687</v>
      </c>
      <c r="C61" t="s">
        <v>17</v>
      </c>
      <c r="D61" t="s">
        <v>21</v>
      </c>
      <c r="E61">
        <v>64</v>
      </c>
      <c r="F61">
        <v>318</v>
      </c>
      <c r="G61">
        <v>600</v>
      </c>
      <c r="H61">
        <v>578</v>
      </c>
      <c r="I61" t="s">
        <v>14</v>
      </c>
      <c r="J61" t="str">
        <f>UPPER(TRIM(cloudSense[[#This Row],[service_name]]))</f>
        <v>RDS</v>
      </c>
      <c r="K61" t="str">
        <f>LOWER(TRIM(cloudSense[[#This Row],[region]]))</f>
        <v>eu-central</v>
      </c>
      <c r="L61" t="str">
        <f>PROPER(TRIM(cloudSense[[#This Row],[resource_status]]))</f>
        <v>Active</v>
      </c>
      <c r="N61">
        <f>cloudSense[[#This Row],[allocated_cost]]-cloudSense[[#This Row],[actual_used_cost]]</f>
        <v>22</v>
      </c>
      <c r="O61" s="2">
        <f>(cloudSense[[#This Row],[allocated_cost]]-cloudSense[[#This Row],[actual_used_cost]])/cloudSense[[#This Row],[allocated_cost]]*100</f>
        <v>3.6666666666666665</v>
      </c>
    </row>
    <row r="62" spans="1:15" x14ac:dyDescent="0.3">
      <c r="A62">
        <v>61</v>
      </c>
      <c r="B62" s="1">
        <v>45688</v>
      </c>
      <c r="C62" t="s">
        <v>9</v>
      </c>
      <c r="D62" t="s">
        <v>10</v>
      </c>
      <c r="E62">
        <v>34</v>
      </c>
      <c r="F62">
        <v>168</v>
      </c>
      <c r="G62">
        <v>500</v>
      </c>
      <c r="H62">
        <v>290</v>
      </c>
      <c r="I62" t="s">
        <v>14</v>
      </c>
      <c r="J62" t="str">
        <f>UPPER(TRIM(cloudSense[[#This Row],[service_name]]))</f>
        <v>EC2</v>
      </c>
      <c r="K62" t="str">
        <f>LOWER(TRIM(cloudSense[[#This Row],[region]]))</f>
        <v>us-east</v>
      </c>
      <c r="L62" t="str">
        <f>PROPER(TRIM(cloudSense[[#This Row],[resource_status]]))</f>
        <v>Active</v>
      </c>
      <c r="N62">
        <f>cloudSense[[#This Row],[allocated_cost]]-cloudSense[[#This Row],[actual_used_cost]]</f>
        <v>210</v>
      </c>
      <c r="O62" s="2">
        <f>(cloudSense[[#This Row],[allocated_cost]]-cloudSense[[#This Row],[actual_used_cost]])/cloudSense[[#This Row],[allocated_cost]]*100</f>
        <v>42</v>
      </c>
    </row>
    <row r="63" spans="1:15" x14ac:dyDescent="0.3">
      <c r="A63">
        <v>62</v>
      </c>
      <c r="B63" s="1">
        <v>45688</v>
      </c>
      <c r="C63" t="s">
        <v>12</v>
      </c>
      <c r="D63" t="s">
        <v>13</v>
      </c>
      <c r="E63">
        <v>74</v>
      </c>
      <c r="F63">
        <v>445</v>
      </c>
      <c r="G63">
        <v>700</v>
      </c>
      <c r="H63">
        <v>635</v>
      </c>
      <c r="I63" t="s">
        <v>14</v>
      </c>
      <c r="J63" t="str">
        <f>UPPER(TRIM(cloudSense[[#This Row],[service_name]]))</f>
        <v>S3</v>
      </c>
      <c r="K63" t="str">
        <f>LOWER(TRIM(cloudSense[[#This Row],[region]]))</f>
        <v>us-west</v>
      </c>
      <c r="L63" t="str">
        <f>PROPER(TRIM(cloudSense[[#This Row],[resource_status]]))</f>
        <v>Active</v>
      </c>
      <c r="N63">
        <f>cloudSense[[#This Row],[allocated_cost]]-cloudSense[[#This Row],[actual_used_cost]]</f>
        <v>65</v>
      </c>
      <c r="O63" s="2">
        <f>(cloudSense[[#This Row],[allocated_cost]]-cloudSense[[#This Row],[actual_used_cost]])/cloudSense[[#This Row],[allocated_cost]]*100</f>
        <v>9.2857142857142865</v>
      </c>
    </row>
    <row r="64" spans="1:15" x14ac:dyDescent="0.3">
      <c r="A64">
        <v>63</v>
      </c>
      <c r="B64" s="1">
        <v>45689</v>
      </c>
      <c r="C64" t="s">
        <v>15</v>
      </c>
      <c r="D64" t="s">
        <v>10</v>
      </c>
      <c r="E64">
        <v>12</v>
      </c>
      <c r="F64">
        <v>100</v>
      </c>
      <c r="G64">
        <v>500</v>
      </c>
      <c r="H64">
        <v>115</v>
      </c>
      <c r="I64" t="s">
        <v>11</v>
      </c>
      <c r="J64" t="str">
        <f>UPPER(TRIM(cloudSense[[#This Row],[service_name]]))</f>
        <v>EC2</v>
      </c>
      <c r="K64" t="str">
        <f>LOWER(TRIM(cloudSense[[#This Row],[region]]))</f>
        <v>us-east</v>
      </c>
      <c r="L64" t="str">
        <f>PROPER(TRIM(cloudSense[[#This Row],[resource_status]]))</f>
        <v>Idle</v>
      </c>
      <c r="N64">
        <f>cloudSense[[#This Row],[allocated_cost]]-cloudSense[[#This Row],[actual_used_cost]]</f>
        <v>385</v>
      </c>
      <c r="O64" s="2">
        <f>(cloudSense[[#This Row],[allocated_cost]]-cloudSense[[#This Row],[actual_used_cost]])/cloudSense[[#This Row],[allocated_cost]]*100</f>
        <v>77</v>
      </c>
    </row>
    <row r="65" spans="1:15" x14ac:dyDescent="0.3">
      <c r="A65">
        <v>64</v>
      </c>
      <c r="B65" s="1">
        <v>45689</v>
      </c>
      <c r="C65" t="s">
        <v>17</v>
      </c>
      <c r="D65" t="s">
        <v>18</v>
      </c>
      <c r="E65">
        <v>59</v>
      </c>
      <c r="F65">
        <v>300</v>
      </c>
      <c r="G65">
        <v>600</v>
      </c>
      <c r="H65">
        <v>510</v>
      </c>
      <c r="I65" t="s">
        <v>14</v>
      </c>
      <c r="J65" t="str">
        <f>UPPER(TRIM(cloudSense[[#This Row],[service_name]]))</f>
        <v>RDS</v>
      </c>
      <c r="K65" t="str">
        <f>LOWER(TRIM(cloudSense[[#This Row],[region]]))</f>
        <v>eu-central</v>
      </c>
      <c r="L65" t="str">
        <f>PROPER(TRIM(cloudSense[[#This Row],[resource_status]]))</f>
        <v>Active</v>
      </c>
      <c r="N65">
        <f>cloudSense[[#This Row],[allocated_cost]]-cloudSense[[#This Row],[actual_used_cost]]</f>
        <v>90</v>
      </c>
      <c r="O65" s="2">
        <f>(cloudSense[[#This Row],[allocated_cost]]-cloudSense[[#This Row],[actual_used_cost]])/cloudSense[[#This Row],[allocated_cost]]*100</f>
        <v>15</v>
      </c>
    </row>
    <row r="66" spans="1:15" x14ac:dyDescent="0.3">
      <c r="A66">
        <v>65</v>
      </c>
      <c r="B66" s="1">
        <v>45690</v>
      </c>
      <c r="C66" t="s">
        <v>19</v>
      </c>
      <c r="D66" t="s">
        <v>20</v>
      </c>
      <c r="E66">
        <v>5</v>
      </c>
      <c r="F66">
        <v>22</v>
      </c>
      <c r="G66">
        <v>200</v>
      </c>
      <c r="H66">
        <v>52</v>
      </c>
      <c r="I66" t="s">
        <v>11</v>
      </c>
      <c r="J66" t="str">
        <f>UPPER(TRIM(cloudSense[[#This Row],[service_name]]))</f>
        <v>LAMBDA</v>
      </c>
      <c r="K66" t="str">
        <f>LOWER(TRIM(cloudSense[[#This Row],[region]]))</f>
        <v>asia-south</v>
      </c>
      <c r="L66" t="str">
        <f>PROPER(TRIM(cloudSense[[#This Row],[resource_status]]))</f>
        <v>Idle</v>
      </c>
      <c r="N66">
        <f>cloudSense[[#This Row],[allocated_cost]]-cloudSense[[#This Row],[actual_used_cost]]</f>
        <v>148</v>
      </c>
      <c r="O66" s="2">
        <f>(cloudSense[[#This Row],[allocated_cost]]-cloudSense[[#This Row],[actual_used_cost]])/cloudSense[[#This Row],[allocated_cost]]*100</f>
        <v>74</v>
      </c>
    </row>
    <row r="67" spans="1:15" x14ac:dyDescent="0.3">
      <c r="A67">
        <v>66</v>
      </c>
      <c r="B67" s="1">
        <v>45690</v>
      </c>
      <c r="C67" t="s">
        <v>12</v>
      </c>
      <c r="D67" t="s">
        <v>13</v>
      </c>
      <c r="E67">
        <v>83</v>
      </c>
      <c r="F67">
        <v>490</v>
      </c>
      <c r="G67">
        <v>700</v>
      </c>
      <c r="H67">
        <v>660</v>
      </c>
      <c r="I67" t="s">
        <v>14</v>
      </c>
      <c r="J67" t="str">
        <f>UPPER(TRIM(cloudSense[[#This Row],[service_name]]))</f>
        <v>S3</v>
      </c>
      <c r="K67" t="str">
        <f>LOWER(TRIM(cloudSense[[#This Row],[region]]))</f>
        <v>us-west</v>
      </c>
      <c r="L67" t="str">
        <f>PROPER(TRIM(cloudSense[[#This Row],[resource_status]]))</f>
        <v>Active</v>
      </c>
      <c r="N67">
        <f>cloudSense[[#This Row],[allocated_cost]]-cloudSense[[#This Row],[actual_used_cost]]</f>
        <v>40</v>
      </c>
      <c r="O67" s="2">
        <f>(cloudSense[[#This Row],[allocated_cost]]-cloudSense[[#This Row],[actual_used_cost]])/cloudSense[[#This Row],[allocated_cost]]*100</f>
        <v>5.7142857142857144</v>
      </c>
    </row>
    <row r="68" spans="1:15" x14ac:dyDescent="0.3">
      <c r="A68">
        <v>67</v>
      </c>
      <c r="B68" s="1">
        <v>45691</v>
      </c>
      <c r="C68" t="s">
        <v>9</v>
      </c>
      <c r="D68" t="s">
        <v>10</v>
      </c>
      <c r="E68">
        <v>38</v>
      </c>
      <c r="F68">
        <v>178</v>
      </c>
      <c r="G68">
        <v>500</v>
      </c>
      <c r="H68">
        <v>335</v>
      </c>
      <c r="I68" t="s">
        <v>14</v>
      </c>
      <c r="J68" t="str">
        <f>UPPER(TRIM(cloudSense[[#This Row],[service_name]]))</f>
        <v>EC2</v>
      </c>
      <c r="K68" t="str">
        <f>LOWER(TRIM(cloudSense[[#This Row],[region]]))</f>
        <v>us-east</v>
      </c>
      <c r="L68" t="str">
        <f>PROPER(TRIM(cloudSense[[#This Row],[resource_status]]))</f>
        <v>Active</v>
      </c>
      <c r="N68">
        <f>cloudSense[[#This Row],[allocated_cost]]-cloudSense[[#This Row],[actual_used_cost]]</f>
        <v>165</v>
      </c>
      <c r="O68" s="2">
        <f>(cloudSense[[#This Row],[allocated_cost]]-cloudSense[[#This Row],[actual_used_cost]])/cloudSense[[#This Row],[allocated_cost]]*100</f>
        <v>33</v>
      </c>
    </row>
    <row r="69" spans="1:15" x14ac:dyDescent="0.3">
      <c r="A69">
        <v>68</v>
      </c>
      <c r="B69" s="1">
        <v>45691</v>
      </c>
      <c r="C69" t="s">
        <v>17</v>
      </c>
      <c r="D69" t="s">
        <v>21</v>
      </c>
      <c r="E69">
        <v>23</v>
      </c>
      <c r="F69">
        <v>220</v>
      </c>
      <c r="G69">
        <v>600</v>
      </c>
      <c r="H69">
        <v>175</v>
      </c>
      <c r="I69" t="s">
        <v>11</v>
      </c>
      <c r="J69" t="str">
        <f>UPPER(TRIM(cloudSense[[#This Row],[service_name]]))</f>
        <v>RDS</v>
      </c>
      <c r="K69" t="str">
        <f>LOWER(TRIM(cloudSense[[#This Row],[region]]))</f>
        <v>eu-central</v>
      </c>
      <c r="L69" t="str">
        <f>PROPER(TRIM(cloudSense[[#This Row],[resource_status]]))</f>
        <v>Idle</v>
      </c>
      <c r="N69">
        <f>cloudSense[[#This Row],[allocated_cost]]-cloudSense[[#This Row],[actual_used_cost]]</f>
        <v>425</v>
      </c>
      <c r="O69" s="2">
        <f>(cloudSense[[#This Row],[allocated_cost]]-cloudSense[[#This Row],[actual_used_cost]])/cloudSense[[#This Row],[allocated_cost]]*100</f>
        <v>70.833333333333343</v>
      </c>
    </row>
    <row r="70" spans="1:15" x14ac:dyDescent="0.3">
      <c r="A70">
        <v>69</v>
      </c>
      <c r="B70" s="1">
        <v>45692</v>
      </c>
      <c r="C70" t="s">
        <v>9</v>
      </c>
      <c r="D70" t="s">
        <v>10</v>
      </c>
      <c r="E70">
        <v>89</v>
      </c>
      <c r="F70">
        <v>270</v>
      </c>
      <c r="G70">
        <v>500</v>
      </c>
      <c r="H70">
        <v>478</v>
      </c>
      <c r="I70" t="s">
        <v>14</v>
      </c>
      <c r="J70" t="str">
        <f>UPPER(TRIM(cloudSense[[#This Row],[service_name]]))</f>
        <v>EC2</v>
      </c>
      <c r="K70" t="str">
        <f>LOWER(TRIM(cloudSense[[#This Row],[region]]))</f>
        <v>us-east</v>
      </c>
      <c r="L70" t="str">
        <f>PROPER(TRIM(cloudSense[[#This Row],[resource_status]]))</f>
        <v>Active</v>
      </c>
      <c r="N70">
        <f>cloudSense[[#This Row],[allocated_cost]]-cloudSense[[#This Row],[actual_used_cost]]</f>
        <v>22</v>
      </c>
      <c r="O70" s="2">
        <f>(cloudSense[[#This Row],[allocated_cost]]-cloudSense[[#This Row],[actual_used_cost]])/cloudSense[[#This Row],[allocated_cost]]*100</f>
        <v>4.3999999999999995</v>
      </c>
    </row>
    <row r="71" spans="1:15" x14ac:dyDescent="0.3">
      <c r="A71">
        <v>70</v>
      </c>
      <c r="B71" s="1">
        <v>45692</v>
      </c>
      <c r="C71" t="s">
        <v>12</v>
      </c>
      <c r="D71" t="s">
        <v>13</v>
      </c>
      <c r="E71">
        <v>55</v>
      </c>
      <c r="F71">
        <v>520</v>
      </c>
      <c r="G71">
        <v>700</v>
      </c>
      <c r="H71">
        <v>435</v>
      </c>
      <c r="I71" t="s">
        <v>14</v>
      </c>
      <c r="J71" t="str">
        <f>UPPER(TRIM(cloudSense[[#This Row],[service_name]]))</f>
        <v>S3</v>
      </c>
      <c r="K71" t="str">
        <f>LOWER(TRIM(cloudSense[[#This Row],[region]]))</f>
        <v>us-west</v>
      </c>
      <c r="L71" t="str">
        <f>PROPER(TRIM(cloudSense[[#This Row],[resource_status]]))</f>
        <v>Active</v>
      </c>
      <c r="N71">
        <f>cloudSense[[#This Row],[allocated_cost]]-cloudSense[[#This Row],[actual_used_cost]]</f>
        <v>265</v>
      </c>
      <c r="O71" s="2">
        <f>(cloudSense[[#This Row],[allocated_cost]]-cloudSense[[#This Row],[actual_used_cost]])/cloudSense[[#This Row],[allocated_cost]]*100</f>
        <v>37.857142857142854</v>
      </c>
    </row>
    <row r="72" spans="1:15" x14ac:dyDescent="0.3">
      <c r="A72">
        <v>71</v>
      </c>
      <c r="B72" s="1">
        <v>45693</v>
      </c>
      <c r="C72" t="s">
        <v>15</v>
      </c>
      <c r="D72" t="s">
        <v>10</v>
      </c>
      <c r="E72">
        <v>11</v>
      </c>
      <c r="F72">
        <v>95</v>
      </c>
      <c r="G72">
        <v>500</v>
      </c>
      <c r="H72">
        <v>105</v>
      </c>
      <c r="I72" t="s">
        <v>11</v>
      </c>
      <c r="J72" t="str">
        <f>UPPER(TRIM(cloudSense[[#This Row],[service_name]]))</f>
        <v>EC2</v>
      </c>
      <c r="K72" t="str">
        <f>LOWER(TRIM(cloudSense[[#This Row],[region]]))</f>
        <v>us-east</v>
      </c>
      <c r="L72" t="str">
        <f>PROPER(TRIM(cloudSense[[#This Row],[resource_status]]))</f>
        <v>Idle</v>
      </c>
      <c r="N72">
        <f>cloudSense[[#This Row],[allocated_cost]]-cloudSense[[#This Row],[actual_used_cost]]</f>
        <v>395</v>
      </c>
      <c r="O72" s="2">
        <f>(cloudSense[[#This Row],[allocated_cost]]-cloudSense[[#This Row],[actual_used_cost]])/cloudSense[[#This Row],[allocated_cost]]*100</f>
        <v>79</v>
      </c>
    </row>
    <row r="73" spans="1:15" x14ac:dyDescent="0.3">
      <c r="A73">
        <v>72</v>
      </c>
      <c r="B73" s="1">
        <v>45693</v>
      </c>
      <c r="C73" t="s">
        <v>17</v>
      </c>
      <c r="D73" t="s">
        <v>20</v>
      </c>
      <c r="E73">
        <v>80</v>
      </c>
      <c r="F73">
        <v>375</v>
      </c>
      <c r="G73">
        <v>600</v>
      </c>
      <c r="H73">
        <v>600</v>
      </c>
      <c r="I73" t="s">
        <v>14</v>
      </c>
      <c r="J73" t="str">
        <f>UPPER(TRIM(cloudSense[[#This Row],[service_name]]))</f>
        <v>RDS</v>
      </c>
      <c r="K73" t="str">
        <f>LOWER(TRIM(cloudSense[[#This Row],[region]]))</f>
        <v>asia-south</v>
      </c>
      <c r="L73" t="str">
        <f>PROPER(TRIM(cloudSense[[#This Row],[resource_status]]))</f>
        <v>Active</v>
      </c>
      <c r="N73">
        <f>cloudSense[[#This Row],[allocated_cost]]-cloudSense[[#This Row],[actual_used_cost]]</f>
        <v>0</v>
      </c>
      <c r="O73" s="2">
        <f>(cloudSense[[#This Row],[allocated_cost]]-cloudSense[[#This Row],[actual_used_cost]])/cloudSense[[#This Row],[allocated_cost]]*100</f>
        <v>0</v>
      </c>
    </row>
    <row r="74" spans="1:15" x14ac:dyDescent="0.3">
      <c r="A74">
        <v>73</v>
      </c>
      <c r="B74" s="1">
        <v>45694</v>
      </c>
      <c r="C74" t="s">
        <v>19</v>
      </c>
      <c r="D74" t="s">
        <v>13</v>
      </c>
      <c r="E74">
        <v>4</v>
      </c>
      <c r="F74">
        <v>16</v>
      </c>
      <c r="G74">
        <v>200</v>
      </c>
      <c r="H74">
        <v>42</v>
      </c>
      <c r="I74" t="s">
        <v>11</v>
      </c>
      <c r="J74" t="str">
        <f>UPPER(TRIM(cloudSense[[#This Row],[service_name]]))</f>
        <v>LAMBDA</v>
      </c>
      <c r="K74" t="str">
        <f>LOWER(TRIM(cloudSense[[#This Row],[region]]))</f>
        <v>us-west</v>
      </c>
      <c r="L74" t="str">
        <f>PROPER(TRIM(cloudSense[[#This Row],[resource_status]]))</f>
        <v>Idle</v>
      </c>
      <c r="N74">
        <f>cloudSense[[#This Row],[allocated_cost]]-cloudSense[[#This Row],[actual_used_cost]]</f>
        <v>158</v>
      </c>
      <c r="O74" s="2">
        <f>(cloudSense[[#This Row],[allocated_cost]]-cloudSense[[#This Row],[actual_used_cost]])/cloudSense[[#This Row],[allocated_cost]]*100</f>
        <v>79</v>
      </c>
    </row>
    <row r="75" spans="1:15" x14ac:dyDescent="0.3">
      <c r="A75">
        <v>74</v>
      </c>
      <c r="B75" s="1">
        <v>45694</v>
      </c>
      <c r="C75" t="s">
        <v>12</v>
      </c>
      <c r="D75" t="s">
        <v>13</v>
      </c>
      <c r="E75">
        <v>92</v>
      </c>
      <c r="F75">
        <v>540</v>
      </c>
      <c r="G75">
        <v>700</v>
      </c>
      <c r="H75">
        <v>698</v>
      </c>
      <c r="I75" t="s">
        <v>14</v>
      </c>
      <c r="J75" t="str">
        <f>UPPER(TRIM(cloudSense[[#This Row],[service_name]]))</f>
        <v>S3</v>
      </c>
      <c r="K75" t="str">
        <f>LOWER(TRIM(cloudSense[[#This Row],[region]]))</f>
        <v>us-west</v>
      </c>
      <c r="L75" t="str">
        <f>PROPER(TRIM(cloudSense[[#This Row],[resource_status]]))</f>
        <v>Active</v>
      </c>
      <c r="N75">
        <f>cloudSense[[#This Row],[allocated_cost]]-cloudSense[[#This Row],[actual_used_cost]]</f>
        <v>2</v>
      </c>
      <c r="O75" s="2">
        <f>(cloudSense[[#This Row],[allocated_cost]]-cloudSense[[#This Row],[actual_used_cost]])/cloudSense[[#This Row],[allocated_cost]]*100</f>
        <v>0.2857142857142857</v>
      </c>
    </row>
    <row r="76" spans="1:15" x14ac:dyDescent="0.3">
      <c r="A76">
        <v>75</v>
      </c>
      <c r="B76" s="1">
        <v>45695</v>
      </c>
      <c r="C76" t="s">
        <v>9</v>
      </c>
      <c r="D76" t="s">
        <v>10</v>
      </c>
      <c r="E76">
        <v>31</v>
      </c>
      <c r="F76">
        <v>160</v>
      </c>
      <c r="G76">
        <v>500</v>
      </c>
      <c r="H76">
        <v>280</v>
      </c>
      <c r="I76" t="s">
        <v>14</v>
      </c>
      <c r="J76" t="str">
        <f>UPPER(TRIM(cloudSense[[#This Row],[service_name]]))</f>
        <v>EC2</v>
      </c>
      <c r="K76" t="str">
        <f>LOWER(TRIM(cloudSense[[#This Row],[region]]))</f>
        <v>us-east</v>
      </c>
      <c r="L76" t="str">
        <f>PROPER(TRIM(cloudSense[[#This Row],[resource_status]]))</f>
        <v>Active</v>
      </c>
      <c r="N76">
        <f>cloudSense[[#This Row],[allocated_cost]]-cloudSense[[#This Row],[actual_used_cost]]</f>
        <v>220</v>
      </c>
      <c r="O76" s="2">
        <f>(cloudSense[[#This Row],[allocated_cost]]-cloudSense[[#This Row],[actual_used_cost]])/cloudSense[[#This Row],[allocated_cost]]*100</f>
        <v>44</v>
      </c>
    </row>
    <row r="77" spans="1:15" x14ac:dyDescent="0.3">
      <c r="A77">
        <v>76</v>
      </c>
      <c r="B77" s="1">
        <v>45695</v>
      </c>
      <c r="C77" t="s">
        <v>17</v>
      </c>
      <c r="D77" t="s">
        <v>18</v>
      </c>
      <c r="F77">
        <v>282</v>
      </c>
      <c r="G77">
        <v>600</v>
      </c>
      <c r="H77">
        <v>398</v>
      </c>
      <c r="I77" t="s">
        <v>11</v>
      </c>
      <c r="J77" t="str">
        <f>UPPER(TRIM(cloudSense[[#This Row],[service_name]]))</f>
        <v>RDS</v>
      </c>
      <c r="K77" t="str">
        <f>LOWER(TRIM(cloudSense[[#This Row],[region]]))</f>
        <v>eu-central</v>
      </c>
      <c r="L77" t="str">
        <f>PROPER(TRIM(cloudSense[[#This Row],[resource_status]]))</f>
        <v>Idle</v>
      </c>
      <c r="N77">
        <f>cloudSense[[#This Row],[allocated_cost]]-cloudSense[[#This Row],[actual_used_cost]]</f>
        <v>202</v>
      </c>
      <c r="O77" s="2">
        <f>(cloudSense[[#This Row],[allocated_cost]]-cloudSense[[#This Row],[actual_used_cost]])/cloudSense[[#This Row],[allocated_cost]]*100</f>
        <v>33.666666666666664</v>
      </c>
    </row>
    <row r="78" spans="1:15" x14ac:dyDescent="0.3">
      <c r="A78">
        <v>77</v>
      </c>
      <c r="B78" s="1">
        <v>45696</v>
      </c>
      <c r="C78" t="s">
        <v>19</v>
      </c>
      <c r="D78" t="s">
        <v>20</v>
      </c>
      <c r="E78">
        <v>7</v>
      </c>
      <c r="F78">
        <v>27</v>
      </c>
      <c r="G78">
        <v>200</v>
      </c>
      <c r="H78">
        <v>60</v>
      </c>
      <c r="I78" t="s">
        <v>11</v>
      </c>
      <c r="J78" t="str">
        <f>UPPER(TRIM(cloudSense[[#This Row],[service_name]]))</f>
        <v>LAMBDA</v>
      </c>
      <c r="K78" t="str">
        <f>LOWER(TRIM(cloudSense[[#This Row],[region]]))</f>
        <v>asia-south</v>
      </c>
      <c r="L78" t="str">
        <f>PROPER(TRIM(cloudSense[[#This Row],[resource_status]]))</f>
        <v>Idle</v>
      </c>
      <c r="N78">
        <f>cloudSense[[#This Row],[allocated_cost]]-cloudSense[[#This Row],[actual_used_cost]]</f>
        <v>140</v>
      </c>
      <c r="O78" s="2">
        <f>(cloudSense[[#This Row],[allocated_cost]]-cloudSense[[#This Row],[actual_used_cost]])/cloudSense[[#This Row],[allocated_cost]]*100</f>
        <v>70</v>
      </c>
    </row>
    <row r="79" spans="1:15" x14ac:dyDescent="0.3">
      <c r="A79">
        <v>78</v>
      </c>
      <c r="B79" s="1">
        <v>45696</v>
      </c>
      <c r="C79" t="s">
        <v>12</v>
      </c>
      <c r="D79" t="s">
        <v>13</v>
      </c>
      <c r="E79">
        <v>95</v>
      </c>
      <c r="F79">
        <v>570</v>
      </c>
      <c r="G79">
        <v>700</v>
      </c>
      <c r="H79">
        <v>700</v>
      </c>
      <c r="I79" t="s">
        <v>14</v>
      </c>
      <c r="J79" t="str">
        <f>UPPER(TRIM(cloudSense[[#This Row],[service_name]]))</f>
        <v>S3</v>
      </c>
      <c r="K79" t="str">
        <f>LOWER(TRIM(cloudSense[[#This Row],[region]]))</f>
        <v>us-west</v>
      </c>
      <c r="L79" t="str">
        <f>PROPER(TRIM(cloudSense[[#This Row],[resource_status]]))</f>
        <v>Active</v>
      </c>
      <c r="N79">
        <f>cloudSense[[#This Row],[allocated_cost]]-cloudSense[[#This Row],[actual_used_cost]]</f>
        <v>0</v>
      </c>
      <c r="O79" s="2">
        <f>(cloudSense[[#This Row],[allocated_cost]]-cloudSense[[#This Row],[actual_used_cost]])/cloudSense[[#This Row],[allocated_cost]]*100</f>
        <v>0</v>
      </c>
    </row>
    <row r="80" spans="1:15" x14ac:dyDescent="0.3">
      <c r="A80">
        <v>79</v>
      </c>
      <c r="B80" s="1">
        <v>45697</v>
      </c>
      <c r="C80" t="s">
        <v>15</v>
      </c>
      <c r="D80" t="s">
        <v>10</v>
      </c>
      <c r="E80">
        <v>17</v>
      </c>
      <c r="F80">
        <v>110</v>
      </c>
      <c r="G80">
        <v>500</v>
      </c>
      <c r="H80">
        <v>175</v>
      </c>
      <c r="I80" t="s">
        <v>16</v>
      </c>
      <c r="J80" t="str">
        <f>UPPER(TRIM(cloudSense[[#This Row],[service_name]]))</f>
        <v>EC2</v>
      </c>
      <c r="K80" t="str">
        <f>LOWER(TRIM(cloudSense[[#This Row],[region]]))</f>
        <v>us-east</v>
      </c>
      <c r="L80" t="str">
        <f>PROPER(TRIM(cloudSense[[#This Row],[resource_status]]))</f>
        <v>Idle</v>
      </c>
      <c r="N80">
        <f>cloudSense[[#This Row],[allocated_cost]]-cloudSense[[#This Row],[actual_used_cost]]</f>
        <v>325</v>
      </c>
      <c r="O80" s="2">
        <f>(cloudSense[[#This Row],[allocated_cost]]-cloudSense[[#This Row],[actual_used_cost]])/cloudSense[[#This Row],[allocated_cost]]*100</f>
        <v>65</v>
      </c>
    </row>
    <row r="81" spans="1:15" x14ac:dyDescent="0.3">
      <c r="A81">
        <v>80</v>
      </c>
      <c r="B81" s="1">
        <v>45697</v>
      </c>
      <c r="C81" t="s">
        <v>17</v>
      </c>
      <c r="D81" t="s">
        <v>21</v>
      </c>
      <c r="E81">
        <v>66</v>
      </c>
      <c r="F81">
        <v>320</v>
      </c>
      <c r="G81">
        <v>600</v>
      </c>
      <c r="H81">
        <v>580</v>
      </c>
      <c r="I81" t="s">
        <v>14</v>
      </c>
      <c r="J81" t="str">
        <f>UPPER(TRIM(cloudSense[[#This Row],[service_name]]))</f>
        <v>RDS</v>
      </c>
      <c r="K81" t="str">
        <f>LOWER(TRIM(cloudSense[[#This Row],[region]]))</f>
        <v>eu-central</v>
      </c>
      <c r="L81" t="str">
        <f>PROPER(TRIM(cloudSense[[#This Row],[resource_status]]))</f>
        <v>Active</v>
      </c>
      <c r="N81">
        <f>cloudSense[[#This Row],[allocated_cost]]-cloudSense[[#This Row],[actual_used_cost]]</f>
        <v>20</v>
      </c>
      <c r="O81" s="2">
        <f>(cloudSense[[#This Row],[allocated_cost]]-cloudSense[[#This Row],[actual_used_cost]])/cloudSense[[#This Row],[allocated_cost]]*100</f>
        <v>3.3333333333333335</v>
      </c>
    </row>
    <row r="82" spans="1:15" x14ac:dyDescent="0.3">
      <c r="A82">
        <v>81</v>
      </c>
      <c r="B82" s="1">
        <v>45698</v>
      </c>
      <c r="C82" t="s">
        <v>9</v>
      </c>
      <c r="D82" t="s">
        <v>10</v>
      </c>
      <c r="E82">
        <v>35</v>
      </c>
      <c r="F82">
        <v>170</v>
      </c>
      <c r="G82">
        <v>500</v>
      </c>
      <c r="H82">
        <v>295</v>
      </c>
      <c r="I82" t="s">
        <v>14</v>
      </c>
      <c r="J82" t="str">
        <f>UPPER(TRIM(cloudSense[[#This Row],[service_name]]))</f>
        <v>EC2</v>
      </c>
      <c r="K82" t="str">
        <f>LOWER(TRIM(cloudSense[[#This Row],[region]]))</f>
        <v>us-east</v>
      </c>
      <c r="L82" t="str">
        <f>PROPER(TRIM(cloudSense[[#This Row],[resource_status]]))</f>
        <v>Active</v>
      </c>
      <c r="N82">
        <f>cloudSense[[#This Row],[allocated_cost]]-cloudSense[[#This Row],[actual_used_cost]]</f>
        <v>205</v>
      </c>
      <c r="O82" s="2">
        <f>(cloudSense[[#This Row],[allocated_cost]]-cloudSense[[#This Row],[actual_used_cost]])/cloudSense[[#This Row],[allocated_cost]]*100</f>
        <v>41</v>
      </c>
    </row>
    <row r="83" spans="1:15" x14ac:dyDescent="0.3">
      <c r="A83">
        <v>82</v>
      </c>
      <c r="B83" s="1">
        <v>45698</v>
      </c>
      <c r="C83" t="s">
        <v>12</v>
      </c>
      <c r="D83" t="s">
        <v>13</v>
      </c>
      <c r="E83">
        <v>75</v>
      </c>
      <c r="F83">
        <v>450</v>
      </c>
      <c r="G83">
        <v>700</v>
      </c>
      <c r="H83">
        <v>640</v>
      </c>
      <c r="I83" t="s">
        <v>14</v>
      </c>
      <c r="J83" t="str">
        <f>UPPER(TRIM(cloudSense[[#This Row],[service_name]]))</f>
        <v>S3</v>
      </c>
      <c r="K83" t="str">
        <f>LOWER(TRIM(cloudSense[[#This Row],[region]]))</f>
        <v>us-west</v>
      </c>
      <c r="L83" t="str">
        <f>PROPER(TRIM(cloudSense[[#This Row],[resource_status]]))</f>
        <v>Active</v>
      </c>
      <c r="N83">
        <f>cloudSense[[#This Row],[allocated_cost]]-cloudSense[[#This Row],[actual_used_cost]]</f>
        <v>60</v>
      </c>
      <c r="O83" s="2">
        <f>(cloudSense[[#This Row],[allocated_cost]]-cloudSense[[#This Row],[actual_used_cost]])/cloudSense[[#This Row],[allocated_cost]]*100</f>
        <v>8.5714285714285712</v>
      </c>
    </row>
    <row r="84" spans="1:15" x14ac:dyDescent="0.3">
      <c r="A84">
        <v>83</v>
      </c>
      <c r="B84" s="1">
        <v>45699</v>
      </c>
      <c r="C84" t="s">
        <v>15</v>
      </c>
      <c r="D84" t="s">
        <v>10</v>
      </c>
      <c r="E84">
        <v>13</v>
      </c>
      <c r="F84">
        <v>102</v>
      </c>
      <c r="G84">
        <v>500</v>
      </c>
      <c r="H84">
        <v>120</v>
      </c>
      <c r="I84" t="s">
        <v>11</v>
      </c>
      <c r="J84" t="str">
        <f>UPPER(TRIM(cloudSense[[#This Row],[service_name]]))</f>
        <v>EC2</v>
      </c>
      <c r="K84" t="str">
        <f>LOWER(TRIM(cloudSense[[#This Row],[region]]))</f>
        <v>us-east</v>
      </c>
      <c r="L84" t="str">
        <f>PROPER(TRIM(cloudSense[[#This Row],[resource_status]]))</f>
        <v>Idle</v>
      </c>
      <c r="N84">
        <f>cloudSense[[#This Row],[allocated_cost]]-cloudSense[[#This Row],[actual_used_cost]]</f>
        <v>380</v>
      </c>
      <c r="O84" s="2">
        <f>(cloudSense[[#This Row],[allocated_cost]]-cloudSense[[#This Row],[actual_used_cost]])/cloudSense[[#This Row],[allocated_cost]]*100</f>
        <v>76</v>
      </c>
    </row>
    <row r="85" spans="1:15" x14ac:dyDescent="0.3">
      <c r="A85">
        <v>84</v>
      </c>
      <c r="B85" s="1">
        <v>45699</v>
      </c>
      <c r="C85" t="s">
        <v>17</v>
      </c>
      <c r="D85" t="s">
        <v>18</v>
      </c>
      <c r="E85">
        <v>60</v>
      </c>
      <c r="F85">
        <v>305</v>
      </c>
      <c r="G85">
        <v>600</v>
      </c>
      <c r="H85">
        <v>515</v>
      </c>
      <c r="I85" t="s">
        <v>14</v>
      </c>
      <c r="J85" t="str">
        <f>UPPER(TRIM(cloudSense[[#This Row],[service_name]]))</f>
        <v>RDS</v>
      </c>
      <c r="K85" t="str">
        <f>LOWER(TRIM(cloudSense[[#This Row],[region]]))</f>
        <v>eu-central</v>
      </c>
      <c r="L85" t="str">
        <f>PROPER(TRIM(cloudSense[[#This Row],[resource_status]]))</f>
        <v>Active</v>
      </c>
      <c r="N85">
        <f>cloudSense[[#This Row],[allocated_cost]]-cloudSense[[#This Row],[actual_used_cost]]</f>
        <v>85</v>
      </c>
      <c r="O85" s="2">
        <f>(cloudSense[[#This Row],[allocated_cost]]-cloudSense[[#This Row],[actual_used_cost]])/cloudSense[[#This Row],[allocated_cost]]*100</f>
        <v>14.166666666666666</v>
      </c>
    </row>
    <row r="86" spans="1:15" x14ac:dyDescent="0.3">
      <c r="A86">
        <v>85</v>
      </c>
      <c r="B86" s="1">
        <v>45700</v>
      </c>
      <c r="C86" t="s">
        <v>19</v>
      </c>
      <c r="D86" t="s">
        <v>20</v>
      </c>
      <c r="E86">
        <v>5</v>
      </c>
      <c r="F86">
        <v>23</v>
      </c>
      <c r="G86">
        <v>200</v>
      </c>
      <c r="H86">
        <v>53</v>
      </c>
      <c r="I86" t="s">
        <v>11</v>
      </c>
      <c r="J86" t="str">
        <f>UPPER(TRIM(cloudSense[[#This Row],[service_name]]))</f>
        <v>LAMBDA</v>
      </c>
      <c r="K86" t="str">
        <f>LOWER(TRIM(cloudSense[[#This Row],[region]]))</f>
        <v>asia-south</v>
      </c>
      <c r="L86" t="str">
        <f>PROPER(TRIM(cloudSense[[#This Row],[resource_status]]))</f>
        <v>Idle</v>
      </c>
      <c r="N86">
        <f>cloudSense[[#This Row],[allocated_cost]]-cloudSense[[#This Row],[actual_used_cost]]</f>
        <v>147</v>
      </c>
      <c r="O86" s="2">
        <f>(cloudSense[[#This Row],[allocated_cost]]-cloudSense[[#This Row],[actual_used_cost]])/cloudSense[[#This Row],[allocated_cost]]*100</f>
        <v>73.5</v>
      </c>
    </row>
    <row r="87" spans="1:15" x14ac:dyDescent="0.3">
      <c r="A87">
        <v>86</v>
      </c>
      <c r="B87" s="1">
        <v>45700</v>
      </c>
      <c r="C87" t="s">
        <v>12</v>
      </c>
      <c r="D87" t="s">
        <v>13</v>
      </c>
      <c r="E87">
        <v>84</v>
      </c>
      <c r="F87">
        <v>495</v>
      </c>
      <c r="G87">
        <v>700</v>
      </c>
      <c r="H87">
        <v>665</v>
      </c>
      <c r="I87" t="s">
        <v>14</v>
      </c>
      <c r="J87" t="str">
        <f>UPPER(TRIM(cloudSense[[#This Row],[service_name]]))</f>
        <v>S3</v>
      </c>
      <c r="K87" t="str">
        <f>LOWER(TRIM(cloudSense[[#This Row],[region]]))</f>
        <v>us-west</v>
      </c>
      <c r="L87" t="str">
        <f>PROPER(TRIM(cloudSense[[#This Row],[resource_status]]))</f>
        <v>Active</v>
      </c>
      <c r="N87">
        <f>cloudSense[[#This Row],[allocated_cost]]-cloudSense[[#This Row],[actual_used_cost]]</f>
        <v>35</v>
      </c>
      <c r="O87" s="2">
        <f>(cloudSense[[#This Row],[allocated_cost]]-cloudSense[[#This Row],[actual_used_cost]])/cloudSense[[#This Row],[allocated_cost]]*100</f>
        <v>5</v>
      </c>
    </row>
    <row r="88" spans="1:15" x14ac:dyDescent="0.3">
      <c r="A88">
        <v>87</v>
      </c>
      <c r="B88" s="1">
        <v>45701</v>
      </c>
      <c r="C88" t="s">
        <v>9</v>
      </c>
      <c r="D88" t="s">
        <v>10</v>
      </c>
      <c r="E88">
        <v>39</v>
      </c>
      <c r="F88">
        <v>180</v>
      </c>
      <c r="G88">
        <v>500</v>
      </c>
      <c r="H88">
        <v>340</v>
      </c>
      <c r="I88" t="s">
        <v>14</v>
      </c>
      <c r="J88" t="str">
        <f>UPPER(TRIM(cloudSense[[#This Row],[service_name]]))</f>
        <v>EC2</v>
      </c>
      <c r="K88" t="str">
        <f>LOWER(TRIM(cloudSense[[#This Row],[region]]))</f>
        <v>us-east</v>
      </c>
      <c r="L88" t="str">
        <f>PROPER(TRIM(cloudSense[[#This Row],[resource_status]]))</f>
        <v>Active</v>
      </c>
      <c r="N88">
        <f>cloudSense[[#This Row],[allocated_cost]]-cloudSense[[#This Row],[actual_used_cost]]</f>
        <v>160</v>
      </c>
      <c r="O88" s="2">
        <f>(cloudSense[[#This Row],[allocated_cost]]-cloudSense[[#This Row],[actual_used_cost]])/cloudSense[[#This Row],[allocated_cost]]*100</f>
        <v>32</v>
      </c>
    </row>
    <row r="89" spans="1:15" x14ac:dyDescent="0.3">
      <c r="A89">
        <v>88</v>
      </c>
      <c r="B89" s="1">
        <v>45701</v>
      </c>
      <c r="C89" t="s">
        <v>17</v>
      </c>
      <c r="D89" t="s">
        <v>21</v>
      </c>
      <c r="E89">
        <v>24</v>
      </c>
      <c r="F89">
        <v>225</v>
      </c>
      <c r="G89">
        <v>600</v>
      </c>
      <c r="H89">
        <v>180</v>
      </c>
      <c r="I89" t="s">
        <v>11</v>
      </c>
      <c r="J89" t="str">
        <f>UPPER(TRIM(cloudSense[[#This Row],[service_name]]))</f>
        <v>RDS</v>
      </c>
      <c r="K89" t="str">
        <f>LOWER(TRIM(cloudSense[[#This Row],[region]]))</f>
        <v>eu-central</v>
      </c>
      <c r="L89" t="str">
        <f>PROPER(TRIM(cloudSense[[#This Row],[resource_status]]))</f>
        <v>Idle</v>
      </c>
      <c r="N89">
        <f>cloudSense[[#This Row],[allocated_cost]]-cloudSense[[#This Row],[actual_used_cost]]</f>
        <v>420</v>
      </c>
      <c r="O89" s="2">
        <f>(cloudSense[[#This Row],[allocated_cost]]-cloudSense[[#This Row],[actual_used_cost]])/cloudSense[[#This Row],[allocated_cost]]*100</f>
        <v>70</v>
      </c>
    </row>
    <row r="90" spans="1:15" x14ac:dyDescent="0.3">
      <c r="A90">
        <v>89</v>
      </c>
      <c r="B90" s="1">
        <v>45702</v>
      </c>
      <c r="C90" t="s">
        <v>9</v>
      </c>
      <c r="D90" t="s">
        <v>10</v>
      </c>
      <c r="E90">
        <v>90</v>
      </c>
      <c r="F90">
        <v>275</v>
      </c>
      <c r="G90">
        <v>500</v>
      </c>
      <c r="H90">
        <v>480</v>
      </c>
      <c r="I90" t="s">
        <v>14</v>
      </c>
      <c r="J90" t="str">
        <f>UPPER(TRIM(cloudSense[[#This Row],[service_name]]))</f>
        <v>EC2</v>
      </c>
      <c r="K90" t="str">
        <f>LOWER(TRIM(cloudSense[[#This Row],[region]]))</f>
        <v>us-east</v>
      </c>
      <c r="L90" t="str">
        <f>PROPER(TRIM(cloudSense[[#This Row],[resource_status]]))</f>
        <v>Active</v>
      </c>
      <c r="N90">
        <f>cloudSense[[#This Row],[allocated_cost]]-cloudSense[[#This Row],[actual_used_cost]]</f>
        <v>20</v>
      </c>
      <c r="O90" s="2">
        <f>(cloudSense[[#This Row],[allocated_cost]]-cloudSense[[#This Row],[actual_used_cost]])/cloudSense[[#This Row],[allocated_cost]]*100</f>
        <v>4</v>
      </c>
    </row>
    <row r="91" spans="1:15" x14ac:dyDescent="0.3">
      <c r="A91">
        <v>90</v>
      </c>
      <c r="B91" s="1">
        <v>45702</v>
      </c>
      <c r="C91" t="s">
        <v>12</v>
      </c>
      <c r="D91" t="s">
        <v>13</v>
      </c>
      <c r="E91">
        <v>57</v>
      </c>
      <c r="F91">
        <v>525</v>
      </c>
      <c r="G91">
        <v>700</v>
      </c>
      <c r="H91">
        <v>440</v>
      </c>
      <c r="I91" t="s">
        <v>14</v>
      </c>
      <c r="J91" t="str">
        <f>UPPER(TRIM(cloudSense[[#This Row],[service_name]]))</f>
        <v>S3</v>
      </c>
      <c r="K91" t="str">
        <f>LOWER(TRIM(cloudSense[[#This Row],[region]]))</f>
        <v>us-west</v>
      </c>
      <c r="L91" t="str">
        <f>PROPER(TRIM(cloudSense[[#This Row],[resource_status]]))</f>
        <v>Active</v>
      </c>
      <c r="N91">
        <f>cloudSense[[#This Row],[allocated_cost]]-cloudSense[[#This Row],[actual_used_cost]]</f>
        <v>260</v>
      </c>
      <c r="O91" s="2">
        <f>(cloudSense[[#This Row],[allocated_cost]]-cloudSense[[#This Row],[actual_used_cost]])/cloudSense[[#This Row],[allocated_cost]]*100</f>
        <v>37.142857142857146</v>
      </c>
    </row>
    <row r="92" spans="1:15" x14ac:dyDescent="0.3">
      <c r="A92">
        <v>91</v>
      </c>
      <c r="B92" s="1">
        <v>45703</v>
      </c>
      <c r="C92" t="s">
        <v>15</v>
      </c>
      <c r="D92" t="s">
        <v>10</v>
      </c>
      <c r="E92">
        <v>12</v>
      </c>
      <c r="F92">
        <v>97</v>
      </c>
      <c r="G92">
        <v>500</v>
      </c>
      <c r="H92">
        <v>110</v>
      </c>
      <c r="I92" t="s">
        <v>11</v>
      </c>
      <c r="J92" t="str">
        <f>UPPER(TRIM(cloudSense[[#This Row],[service_name]]))</f>
        <v>EC2</v>
      </c>
      <c r="K92" t="str">
        <f>LOWER(TRIM(cloudSense[[#This Row],[region]]))</f>
        <v>us-east</v>
      </c>
      <c r="L92" t="str">
        <f>PROPER(TRIM(cloudSense[[#This Row],[resource_status]]))</f>
        <v>Idle</v>
      </c>
      <c r="N92">
        <f>cloudSense[[#This Row],[allocated_cost]]-cloudSense[[#This Row],[actual_used_cost]]</f>
        <v>390</v>
      </c>
      <c r="O92" s="2">
        <f>(cloudSense[[#This Row],[allocated_cost]]-cloudSense[[#This Row],[actual_used_cost]])/cloudSense[[#This Row],[allocated_cost]]*100</f>
        <v>78</v>
      </c>
    </row>
    <row r="93" spans="1:15" x14ac:dyDescent="0.3">
      <c r="A93">
        <v>92</v>
      </c>
      <c r="B93" s="1">
        <v>45703</v>
      </c>
      <c r="C93" t="s">
        <v>17</v>
      </c>
      <c r="D93" t="s">
        <v>20</v>
      </c>
      <c r="E93">
        <v>82</v>
      </c>
      <c r="F93">
        <v>380</v>
      </c>
      <c r="G93">
        <v>600</v>
      </c>
      <c r="H93">
        <v>600</v>
      </c>
      <c r="I93" t="s">
        <v>14</v>
      </c>
      <c r="J93" t="str">
        <f>UPPER(TRIM(cloudSense[[#This Row],[service_name]]))</f>
        <v>RDS</v>
      </c>
      <c r="K93" t="str">
        <f>LOWER(TRIM(cloudSense[[#This Row],[region]]))</f>
        <v>asia-south</v>
      </c>
      <c r="L93" t="str">
        <f>PROPER(TRIM(cloudSense[[#This Row],[resource_status]]))</f>
        <v>Active</v>
      </c>
      <c r="N93">
        <f>cloudSense[[#This Row],[allocated_cost]]-cloudSense[[#This Row],[actual_used_cost]]</f>
        <v>0</v>
      </c>
      <c r="O93" s="2">
        <f>(cloudSense[[#This Row],[allocated_cost]]-cloudSense[[#This Row],[actual_used_cost]])/cloudSense[[#This Row],[allocated_cost]]*100</f>
        <v>0</v>
      </c>
    </row>
    <row r="94" spans="1:15" x14ac:dyDescent="0.3">
      <c r="A94">
        <v>93</v>
      </c>
      <c r="B94" s="1">
        <v>45704</v>
      </c>
      <c r="C94" t="s">
        <v>19</v>
      </c>
      <c r="D94" t="s">
        <v>13</v>
      </c>
      <c r="E94">
        <v>3</v>
      </c>
      <c r="F94">
        <v>15</v>
      </c>
      <c r="G94">
        <v>200</v>
      </c>
      <c r="H94">
        <v>40</v>
      </c>
      <c r="I94" t="s">
        <v>11</v>
      </c>
      <c r="J94" t="str">
        <f>UPPER(TRIM(cloudSense[[#This Row],[service_name]]))</f>
        <v>LAMBDA</v>
      </c>
      <c r="K94" t="str">
        <f>LOWER(TRIM(cloudSense[[#This Row],[region]]))</f>
        <v>us-west</v>
      </c>
      <c r="L94" t="str">
        <f>PROPER(TRIM(cloudSense[[#This Row],[resource_status]]))</f>
        <v>Idle</v>
      </c>
      <c r="N94">
        <f>cloudSense[[#This Row],[allocated_cost]]-cloudSense[[#This Row],[actual_used_cost]]</f>
        <v>160</v>
      </c>
      <c r="O94" s="2">
        <f>(cloudSense[[#This Row],[allocated_cost]]-cloudSense[[#This Row],[actual_used_cost]])/cloudSense[[#This Row],[allocated_cost]]*100</f>
        <v>80</v>
      </c>
    </row>
    <row r="95" spans="1:15" x14ac:dyDescent="0.3">
      <c r="A95">
        <v>94</v>
      </c>
      <c r="B95" s="1">
        <v>45704</v>
      </c>
      <c r="C95" t="s">
        <v>12</v>
      </c>
      <c r="D95" t="s">
        <v>13</v>
      </c>
      <c r="E95">
        <v>93</v>
      </c>
      <c r="F95">
        <v>545</v>
      </c>
      <c r="G95">
        <v>700</v>
      </c>
      <c r="H95">
        <v>699</v>
      </c>
      <c r="I95" t="s">
        <v>14</v>
      </c>
      <c r="J95" t="str">
        <f>UPPER(TRIM(cloudSense[[#This Row],[service_name]]))</f>
        <v>S3</v>
      </c>
      <c r="K95" t="str">
        <f>LOWER(TRIM(cloudSense[[#This Row],[region]]))</f>
        <v>us-west</v>
      </c>
      <c r="L95" t="str">
        <f>PROPER(TRIM(cloudSense[[#This Row],[resource_status]]))</f>
        <v>Active</v>
      </c>
      <c r="N95">
        <f>cloudSense[[#This Row],[allocated_cost]]-cloudSense[[#This Row],[actual_used_cost]]</f>
        <v>1</v>
      </c>
      <c r="O95" s="2">
        <f>(cloudSense[[#This Row],[allocated_cost]]-cloudSense[[#This Row],[actual_used_cost]])/cloudSense[[#This Row],[allocated_cost]]*100</f>
        <v>0.14285714285714285</v>
      </c>
    </row>
    <row r="96" spans="1:15" x14ac:dyDescent="0.3">
      <c r="A96">
        <v>95</v>
      </c>
      <c r="B96" s="1">
        <v>45705</v>
      </c>
      <c r="C96" t="s">
        <v>9</v>
      </c>
      <c r="D96" t="s">
        <v>10</v>
      </c>
      <c r="E96">
        <v>33</v>
      </c>
      <c r="F96">
        <v>165</v>
      </c>
      <c r="G96">
        <v>500</v>
      </c>
      <c r="H96">
        <v>285</v>
      </c>
      <c r="I96" t="s">
        <v>14</v>
      </c>
      <c r="J96" t="str">
        <f>UPPER(TRIM(cloudSense[[#This Row],[service_name]]))</f>
        <v>EC2</v>
      </c>
      <c r="K96" t="str">
        <f>LOWER(TRIM(cloudSense[[#This Row],[region]]))</f>
        <v>us-east</v>
      </c>
      <c r="L96" t="str">
        <f>PROPER(TRIM(cloudSense[[#This Row],[resource_status]]))</f>
        <v>Active</v>
      </c>
      <c r="N96">
        <f>cloudSense[[#This Row],[allocated_cost]]-cloudSense[[#This Row],[actual_used_cost]]</f>
        <v>215</v>
      </c>
      <c r="O96" s="2">
        <f>(cloudSense[[#This Row],[allocated_cost]]-cloudSense[[#This Row],[actual_used_cost]])/cloudSense[[#This Row],[allocated_cost]]*100</f>
        <v>43</v>
      </c>
    </row>
    <row r="97" spans="1:15" x14ac:dyDescent="0.3">
      <c r="A97">
        <v>96</v>
      </c>
      <c r="B97" s="1">
        <v>45705</v>
      </c>
      <c r="C97" t="s">
        <v>17</v>
      </c>
      <c r="D97" t="s">
        <v>18</v>
      </c>
      <c r="F97">
        <v>285</v>
      </c>
      <c r="G97">
        <v>600</v>
      </c>
      <c r="H97">
        <v>400</v>
      </c>
      <c r="I97" t="s">
        <v>11</v>
      </c>
      <c r="J97" t="str">
        <f>UPPER(TRIM(cloudSense[[#This Row],[service_name]]))</f>
        <v>RDS</v>
      </c>
      <c r="K97" t="str">
        <f>LOWER(TRIM(cloudSense[[#This Row],[region]]))</f>
        <v>eu-central</v>
      </c>
      <c r="L97" t="str">
        <f>PROPER(TRIM(cloudSense[[#This Row],[resource_status]]))</f>
        <v>Idle</v>
      </c>
      <c r="N97">
        <f>cloudSense[[#This Row],[allocated_cost]]-cloudSense[[#This Row],[actual_used_cost]]</f>
        <v>200</v>
      </c>
      <c r="O97" s="2">
        <f>(cloudSense[[#This Row],[allocated_cost]]-cloudSense[[#This Row],[actual_used_cost]])/cloudSense[[#This Row],[allocated_cost]]*100</f>
        <v>33.333333333333329</v>
      </c>
    </row>
    <row r="98" spans="1:15" x14ac:dyDescent="0.3">
      <c r="A98">
        <v>97</v>
      </c>
      <c r="B98" s="1">
        <v>45706</v>
      </c>
      <c r="C98" t="s">
        <v>19</v>
      </c>
      <c r="D98" t="s">
        <v>20</v>
      </c>
      <c r="E98">
        <v>6</v>
      </c>
      <c r="F98">
        <v>26</v>
      </c>
      <c r="G98">
        <v>200</v>
      </c>
      <c r="H98">
        <v>58</v>
      </c>
      <c r="I98" t="s">
        <v>11</v>
      </c>
      <c r="J98" t="str">
        <f>UPPER(TRIM(cloudSense[[#This Row],[service_name]]))</f>
        <v>LAMBDA</v>
      </c>
      <c r="K98" t="str">
        <f>LOWER(TRIM(cloudSense[[#This Row],[region]]))</f>
        <v>asia-south</v>
      </c>
      <c r="L98" t="str">
        <f>PROPER(TRIM(cloudSense[[#This Row],[resource_status]]))</f>
        <v>Idle</v>
      </c>
      <c r="N98">
        <f>cloudSense[[#This Row],[allocated_cost]]-cloudSense[[#This Row],[actual_used_cost]]</f>
        <v>142</v>
      </c>
      <c r="O98" s="2">
        <f>(cloudSense[[#This Row],[allocated_cost]]-cloudSense[[#This Row],[actual_used_cost]])/cloudSense[[#This Row],[allocated_cost]]*100</f>
        <v>71</v>
      </c>
    </row>
    <row r="99" spans="1:15" x14ac:dyDescent="0.3">
      <c r="A99">
        <v>98</v>
      </c>
      <c r="B99" s="1">
        <v>45706</v>
      </c>
      <c r="C99" t="s">
        <v>12</v>
      </c>
      <c r="D99" t="s">
        <v>13</v>
      </c>
      <c r="E99">
        <v>96</v>
      </c>
      <c r="F99">
        <v>575</v>
      </c>
      <c r="G99">
        <v>700</v>
      </c>
      <c r="H99">
        <v>700</v>
      </c>
      <c r="I99" t="s">
        <v>14</v>
      </c>
      <c r="J99" t="str">
        <f>UPPER(TRIM(cloudSense[[#This Row],[service_name]]))</f>
        <v>S3</v>
      </c>
      <c r="K99" t="str">
        <f>LOWER(TRIM(cloudSense[[#This Row],[region]]))</f>
        <v>us-west</v>
      </c>
      <c r="L99" t="str">
        <f>PROPER(TRIM(cloudSense[[#This Row],[resource_status]]))</f>
        <v>Active</v>
      </c>
      <c r="N99">
        <f>cloudSense[[#This Row],[allocated_cost]]-cloudSense[[#This Row],[actual_used_cost]]</f>
        <v>0</v>
      </c>
      <c r="O99" s="2">
        <f>(cloudSense[[#This Row],[allocated_cost]]-cloudSense[[#This Row],[actual_used_cost]])/cloudSense[[#This Row],[allocated_cost]]*100</f>
        <v>0</v>
      </c>
    </row>
    <row r="100" spans="1:15" x14ac:dyDescent="0.3">
      <c r="A100">
        <v>99</v>
      </c>
      <c r="B100" s="1">
        <v>45707</v>
      </c>
      <c r="C100" t="s">
        <v>15</v>
      </c>
      <c r="D100" t="s">
        <v>10</v>
      </c>
      <c r="E100">
        <v>18</v>
      </c>
      <c r="F100">
        <v>112</v>
      </c>
      <c r="G100">
        <v>500</v>
      </c>
      <c r="H100">
        <v>180</v>
      </c>
      <c r="I100" t="s">
        <v>16</v>
      </c>
      <c r="J100" t="str">
        <f>UPPER(TRIM(cloudSense[[#This Row],[service_name]]))</f>
        <v>EC2</v>
      </c>
      <c r="K100" t="str">
        <f>LOWER(TRIM(cloudSense[[#This Row],[region]]))</f>
        <v>us-east</v>
      </c>
      <c r="L100" t="str">
        <f>PROPER(TRIM(cloudSense[[#This Row],[resource_status]]))</f>
        <v>Idle</v>
      </c>
      <c r="N100">
        <f>cloudSense[[#This Row],[allocated_cost]]-cloudSense[[#This Row],[actual_used_cost]]</f>
        <v>320</v>
      </c>
      <c r="O100" s="2">
        <f>(cloudSense[[#This Row],[allocated_cost]]-cloudSense[[#This Row],[actual_used_cost]])/cloudSense[[#This Row],[allocated_cost]]*100</f>
        <v>64</v>
      </c>
    </row>
    <row r="101" spans="1:15" x14ac:dyDescent="0.3">
      <c r="A101">
        <v>100</v>
      </c>
      <c r="B101" s="1">
        <v>45707</v>
      </c>
      <c r="C101" t="s">
        <v>17</v>
      </c>
      <c r="D101" t="s">
        <v>21</v>
      </c>
      <c r="E101">
        <v>68</v>
      </c>
      <c r="F101">
        <v>322</v>
      </c>
      <c r="G101">
        <v>600</v>
      </c>
      <c r="H101">
        <v>582</v>
      </c>
      <c r="I101" t="s">
        <v>14</v>
      </c>
      <c r="J101" t="str">
        <f>UPPER(TRIM(cloudSense[[#This Row],[service_name]]))</f>
        <v>RDS</v>
      </c>
      <c r="K101" t="str">
        <f>LOWER(TRIM(cloudSense[[#This Row],[region]]))</f>
        <v>eu-central</v>
      </c>
      <c r="L101" t="str">
        <f>PROPER(TRIM(cloudSense[[#This Row],[resource_status]]))</f>
        <v>Active</v>
      </c>
      <c r="N101">
        <f>cloudSense[[#This Row],[allocated_cost]]-cloudSense[[#This Row],[actual_used_cost]]</f>
        <v>18</v>
      </c>
      <c r="O101" s="2">
        <f>(cloudSense[[#This Row],[allocated_cost]]-cloudSense[[#This Row],[actual_used_cost]])/cloudSense[[#This Row],[allocated_cost]]*100</f>
        <v>3</v>
      </c>
    </row>
    <row r="102" spans="1:15" x14ac:dyDescent="0.3">
      <c r="A102">
        <v>101</v>
      </c>
      <c r="B102" s="1">
        <v>45708</v>
      </c>
      <c r="C102" t="s">
        <v>9</v>
      </c>
      <c r="D102" t="s">
        <v>10</v>
      </c>
      <c r="E102">
        <v>36</v>
      </c>
      <c r="F102">
        <v>172</v>
      </c>
      <c r="G102">
        <v>500</v>
      </c>
      <c r="H102">
        <v>300</v>
      </c>
      <c r="I102" t="s">
        <v>14</v>
      </c>
      <c r="J102" t="str">
        <f>UPPER(TRIM(cloudSense[[#This Row],[service_name]]))</f>
        <v>EC2</v>
      </c>
      <c r="K102" t="str">
        <f>LOWER(TRIM(cloudSense[[#This Row],[region]]))</f>
        <v>us-east</v>
      </c>
      <c r="L102" t="str">
        <f>PROPER(TRIM(cloudSense[[#This Row],[resource_status]]))</f>
        <v>Active</v>
      </c>
      <c r="N102">
        <f>cloudSense[[#This Row],[allocated_cost]]-cloudSense[[#This Row],[actual_used_cost]]</f>
        <v>200</v>
      </c>
      <c r="O102" s="2">
        <f>(cloudSense[[#This Row],[allocated_cost]]-cloudSense[[#This Row],[actual_used_cost]])/cloudSense[[#This Row],[allocated_cost]]*100</f>
        <v>40</v>
      </c>
    </row>
    <row r="103" spans="1:15" x14ac:dyDescent="0.3">
      <c r="A103">
        <v>102</v>
      </c>
      <c r="B103" s="1">
        <v>45708</v>
      </c>
      <c r="C103" t="s">
        <v>12</v>
      </c>
      <c r="D103" t="s">
        <v>13</v>
      </c>
      <c r="E103">
        <v>76</v>
      </c>
      <c r="F103">
        <v>455</v>
      </c>
      <c r="G103">
        <v>700</v>
      </c>
      <c r="H103">
        <v>645</v>
      </c>
      <c r="I103" t="s">
        <v>14</v>
      </c>
      <c r="J103" t="str">
        <f>UPPER(TRIM(cloudSense[[#This Row],[service_name]]))</f>
        <v>S3</v>
      </c>
      <c r="K103" t="str">
        <f>LOWER(TRIM(cloudSense[[#This Row],[region]]))</f>
        <v>us-west</v>
      </c>
      <c r="L103" t="str">
        <f>PROPER(TRIM(cloudSense[[#This Row],[resource_status]]))</f>
        <v>Active</v>
      </c>
      <c r="N103">
        <f>cloudSense[[#This Row],[allocated_cost]]-cloudSense[[#This Row],[actual_used_cost]]</f>
        <v>55</v>
      </c>
      <c r="O103" s="2">
        <f>(cloudSense[[#This Row],[allocated_cost]]-cloudSense[[#This Row],[actual_used_cost]])/cloudSense[[#This Row],[allocated_cost]]*100</f>
        <v>7.8571428571428568</v>
      </c>
    </row>
    <row r="104" spans="1:15" x14ac:dyDescent="0.3">
      <c r="A104">
        <v>103</v>
      </c>
      <c r="B104" s="1">
        <v>45709</v>
      </c>
      <c r="C104" t="s">
        <v>15</v>
      </c>
      <c r="D104" t="s">
        <v>10</v>
      </c>
      <c r="E104">
        <v>14</v>
      </c>
      <c r="F104">
        <v>104</v>
      </c>
      <c r="G104">
        <v>500</v>
      </c>
      <c r="H104">
        <v>125</v>
      </c>
      <c r="I104" t="s">
        <v>11</v>
      </c>
      <c r="J104" t="str">
        <f>UPPER(TRIM(cloudSense[[#This Row],[service_name]]))</f>
        <v>EC2</v>
      </c>
      <c r="K104" t="str">
        <f>LOWER(TRIM(cloudSense[[#This Row],[region]]))</f>
        <v>us-east</v>
      </c>
      <c r="L104" t="str">
        <f>PROPER(TRIM(cloudSense[[#This Row],[resource_status]]))</f>
        <v>Idle</v>
      </c>
      <c r="N104">
        <f>cloudSense[[#This Row],[allocated_cost]]-cloudSense[[#This Row],[actual_used_cost]]</f>
        <v>375</v>
      </c>
      <c r="O104" s="2">
        <f>(cloudSense[[#This Row],[allocated_cost]]-cloudSense[[#This Row],[actual_used_cost]])/cloudSense[[#This Row],[allocated_cost]]*100</f>
        <v>75</v>
      </c>
    </row>
    <row r="105" spans="1:15" x14ac:dyDescent="0.3">
      <c r="A105">
        <v>104</v>
      </c>
      <c r="B105" s="1">
        <v>45709</v>
      </c>
      <c r="C105" t="s">
        <v>17</v>
      </c>
      <c r="D105" t="s">
        <v>18</v>
      </c>
      <c r="E105">
        <v>61</v>
      </c>
      <c r="F105">
        <v>308</v>
      </c>
      <c r="G105">
        <v>600</v>
      </c>
      <c r="H105">
        <v>518</v>
      </c>
      <c r="I105" t="s">
        <v>14</v>
      </c>
      <c r="J105" t="str">
        <f>UPPER(TRIM(cloudSense[[#This Row],[service_name]]))</f>
        <v>RDS</v>
      </c>
      <c r="K105" t="str">
        <f>LOWER(TRIM(cloudSense[[#This Row],[region]]))</f>
        <v>eu-central</v>
      </c>
      <c r="L105" t="str">
        <f>PROPER(TRIM(cloudSense[[#This Row],[resource_status]]))</f>
        <v>Active</v>
      </c>
      <c r="N105">
        <f>cloudSense[[#This Row],[allocated_cost]]-cloudSense[[#This Row],[actual_used_cost]]</f>
        <v>82</v>
      </c>
      <c r="O105" s="2">
        <f>(cloudSense[[#This Row],[allocated_cost]]-cloudSense[[#This Row],[actual_used_cost]])/cloudSense[[#This Row],[allocated_cost]]*100</f>
        <v>13.666666666666666</v>
      </c>
    </row>
    <row r="106" spans="1:15" x14ac:dyDescent="0.3">
      <c r="A106">
        <v>105</v>
      </c>
      <c r="B106" s="1">
        <v>45710</v>
      </c>
      <c r="C106" t="s">
        <v>19</v>
      </c>
      <c r="D106" t="s">
        <v>20</v>
      </c>
      <c r="E106">
        <v>5</v>
      </c>
      <c r="F106">
        <v>24</v>
      </c>
      <c r="G106">
        <v>200</v>
      </c>
      <c r="H106">
        <v>54</v>
      </c>
      <c r="I106" t="s">
        <v>11</v>
      </c>
      <c r="J106" t="str">
        <f>UPPER(TRIM(cloudSense[[#This Row],[service_name]]))</f>
        <v>LAMBDA</v>
      </c>
      <c r="K106" t="str">
        <f>LOWER(TRIM(cloudSense[[#This Row],[region]]))</f>
        <v>asia-south</v>
      </c>
      <c r="L106" t="str">
        <f>PROPER(TRIM(cloudSense[[#This Row],[resource_status]]))</f>
        <v>Idle</v>
      </c>
      <c r="N106">
        <f>cloudSense[[#This Row],[allocated_cost]]-cloudSense[[#This Row],[actual_used_cost]]</f>
        <v>146</v>
      </c>
      <c r="O106" s="2">
        <f>(cloudSense[[#This Row],[allocated_cost]]-cloudSense[[#This Row],[actual_used_cost]])/cloudSense[[#This Row],[allocated_cost]]*100</f>
        <v>73</v>
      </c>
    </row>
    <row r="107" spans="1:15" x14ac:dyDescent="0.3">
      <c r="A107">
        <v>106</v>
      </c>
      <c r="B107" s="1">
        <v>45710</v>
      </c>
      <c r="C107" t="s">
        <v>12</v>
      </c>
      <c r="D107" t="s">
        <v>13</v>
      </c>
      <c r="E107">
        <v>85</v>
      </c>
      <c r="F107">
        <v>498</v>
      </c>
      <c r="G107">
        <v>700</v>
      </c>
      <c r="H107">
        <v>668</v>
      </c>
      <c r="I107" t="s">
        <v>14</v>
      </c>
      <c r="J107" t="str">
        <f>UPPER(TRIM(cloudSense[[#This Row],[service_name]]))</f>
        <v>S3</v>
      </c>
      <c r="K107" t="str">
        <f>LOWER(TRIM(cloudSense[[#This Row],[region]]))</f>
        <v>us-west</v>
      </c>
      <c r="L107" t="str">
        <f>PROPER(TRIM(cloudSense[[#This Row],[resource_status]]))</f>
        <v>Active</v>
      </c>
      <c r="N107">
        <f>cloudSense[[#This Row],[allocated_cost]]-cloudSense[[#This Row],[actual_used_cost]]</f>
        <v>32</v>
      </c>
      <c r="O107" s="2">
        <f>(cloudSense[[#This Row],[allocated_cost]]-cloudSense[[#This Row],[actual_used_cost]])/cloudSense[[#This Row],[allocated_cost]]*100</f>
        <v>4.5714285714285712</v>
      </c>
    </row>
    <row r="108" spans="1:15" x14ac:dyDescent="0.3">
      <c r="A108">
        <v>107</v>
      </c>
      <c r="B108" s="1">
        <v>45711</v>
      </c>
      <c r="C108" t="s">
        <v>9</v>
      </c>
      <c r="D108" t="s">
        <v>10</v>
      </c>
      <c r="E108">
        <v>40</v>
      </c>
      <c r="F108">
        <v>182</v>
      </c>
      <c r="G108">
        <v>500</v>
      </c>
      <c r="H108">
        <v>345</v>
      </c>
      <c r="I108" t="s">
        <v>14</v>
      </c>
      <c r="J108" t="str">
        <f>UPPER(TRIM(cloudSense[[#This Row],[service_name]]))</f>
        <v>EC2</v>
      </c>
      <c r="K108" t="str">
        <f>LOWER(TRIM(cloudSense[[#This Row],[region]]))</f>
        <v>us-east</v>
      </c>
      <c r="L108" t="str">
        <f>PROPER(TRIM(cloudSense[[#This Row],[resource_status]]))</f>
        <v>Active</v>
      </c>
      <c r="N108">
        <f>cloudSense[[#This Row],[allocated_cost]]-cloudSense[[#This Row],[actual_used_cost]]</f>
        <v>155</v>
      </c>
      <c r="O108" s="2">
        <f>(cloudSense[[#This Row],[allocated_cost]]-cloudSense[[#This Row],[actual_used_cost]])/cloudSense[[#This Row],[allocated_cost]]*100</f>
        <v>31</v>
      </c>
    </row>
    <row r="109" spans="1:15" x14ac:dyDescent="0.3">
      <c r="A109">
        <v>108</v>
      </c>
      <c r="B109" s="1">
        <v>45711</v>
      </c>
      <c r="C109" t="s">
        <v>17</v>
      </c>
      <c r="D109" t="s">
        <v>21</v>
      </c>
      <c r="E109">
        <v>25</v>
      </c>
      <c r="F109">
        <v>230</v>
      </c>
      <c r="G109">
        <v>600</v>
      </c>
      <c r="H109">
        <v>185</v>
      </c>
      <c r="I109" t="s">
        <v>11</v>
      </c>
      <c r="J109" t="str">
        <f>UPPER(TRIM(cloudSense[[#This Row],[service_name]]))</f>
        <v>RDS</v>
      </c>
      <c r="K109" t="str">
        <f>LOWER(TRIM(cloudSense[[#This Row],[region]]))</f>
        <v>eu-central</v>
      </c>
      <c r="L109" t="str">
        <f>PROPER(TRIM(cloudSense[[#This Row],[resource_status]]))</f>
        <v>Idle</v>
      </c>
      <c r="N109">
        <f>cloudSense[[#This Row],[allocated_cost]]-cloudSense[[#This Row],[actual_used_cost]]</f>
        <v>415</v>
      </c>
      <c r="O109" s="2">
        <f>(cloudSense[[#This Row],[allocated_cost]]-cloudSense[[#This Row],[actual_used_cost]])/cloudSense[[#This Row],[allocated_cost]]*100</f>
        <v>69.166666666666671</v>
      </c>
    </row>
    <row r="110" spans="1:15" x14ac:dyDescent="0.3">
      <c r="A110">
        <v>109</v>
      </c>
      <c r="B110" s="1">
        <v>45712</v>
      </c>
      <c r="C110" t="s">
        <v>9</v>
      </c>
      <c r="D110" t="s">
        <v>10</v>
      </c>
      <c r="E110">
        <v>91</v>
      </c>
      <c r="F110">
        <v>278</v>
      </c>
      <c r="G110">
        <v>500</v>
      </c>
      <c r="H110">
        <v>482</v>
      </c>
      <c r="I110" t="s">
        <v>14</v>
      </c>
      <c r="J110" t="str">
        <f>UPPER(TRIM(cloudSense[[#This Row],[service_name]]))</f>
        <v>EC2</v>
      </c>
      <c r="K110" t="str">
        <f>LOWER(TRIM(cloudSense[[#This Row],[region]]))</f>
        <v>us-east</v>
      </c>
      <c r="L110" t="str">
        <f>PROPER(TRIM(cloudSense[[#This Row],[resource_status]]))</f>
        <v>Active</v>
      </c>
      <c r="N110">
        <f>cloudSense[[#This Row],[allocated_cost]]-cloudSense[[#This Row],[actual_used_cost]]</f>
        <v>18</v>
      </c>
      <c r="O110" s="2">
        <f>(cloudSense[[#This Row],[allocated_cost]]-cloudSense[[#This Row],[actual_used_cost]])/cloudSense[[#This Row],[allocated_cost]]*100</f>
        <v>3.5999999999999996</v>
      </c>
    </row>
    <row r="111" spans="1:15" x14ac:dyDescent="0.3">
      <c r="A111">
        <v>110</v>
      </c>
      <c r="B111" s="1">
        <v>45712</v>
      </c>
      <c r="C111" t="s">
        <v>12</v>
      </c>
      <c r="D111" t="s">
        <v>13</v>
      </c>
      <c r="E111">
        <v>58</v>
      </c>
      <c r="F111">
        <v>528</v>
      </c>
      <c r="G111">
        <v>700</v>
      </c>
      <c r="H111">
        <v>445</v>
      </c>
      <c r="I111" t="s">
        <v>14</v>
      </c>
      <c r="J111" t="str">
        <f>UPPER(TRIM(cloudSense[[#This Row],[service_name]]))</f>
        <v>S3</v>
      </c>
      <c r="K111" t="str">
        <f>LOWER(TRIM(cloudSense[[#This Row],[region]]))</f>
        <v>us-west</v>
      </c>
      <c r="L111" t="str">
        <f>PROPER(TRIM(cloudSense[[#This Row],[resource_status]]))</f>
        <v>Active</v>
      </c>
      <c r="N111">
        <f>cloudSense[[#This Row],[allocated_cost]]-cloudSense[[#This Row],[actual_used_cost]]</f>
        <v>255</v>
      </c>
      <c r="O111" s="2">
        <f>(cloudSense[[#This Row],[allocated_cost]]-cloudSense[[#This Row],[actual_used_cost]])/cloudSense[[#This Row],[allocated_cost]]*100</f>
        <v>36.428571428571423</v>
      </c>
    </row>
    <row r="112" spans="1:15" x14ac:dyDescent="0.3">
      <c r="A112">
        <v>111</v>
      </c>
      <c r="B112" s="1">
        <v>45713</v>
      </c>
      <c r="C112" t="s">
        <v>15</v>
      </c>
      <c r="D112" t="s">
        <v>10</v>
      </c>
      <c r="E112">
        <v>13</v>
      </c>
      <c r="F112">
        <v>99</v>
      </c>
      <c r="G112">
        <v>500</v>
      </c>
      <c r="H112">
        <v>115</v>
      </c>
      <c r="I112" t="s">
        <v>11</v>
      </c>
      <c r="J112" t="str">
        <f>UPPER(TRIM(cloudSense[[#This Row],[service_name]]))</f>
        <v>EC2</v>
      </c>
      <c r="K112" t="str">
        <f>LOWER(TRIM(cloudSense[[#This Row],[region]]))</f>
        <v>us-east</v>
      </c>
      <c r="L112" t="str">
        <f>PROPER(TRIM(cloudSense[[#This Row],[resource_status]]))</f>
        <v>Idle</v>
      </c>
      <c r="N112">
        <f>cloudSense[[#This Row],[allocated_cost]]-cloudSense[[#This Row],[actual_used_cost]]</f>
        <v>385</v>
      </c>
      <c r="O112" s="2">
        <f>(cloudSense[[#This Row],[allocated_cost]]-cloudSense[[#This Row],[actual_used_cost]])/cloudSense[[#This Row],[allocated_cost]]*100</f>
        <v>77</v>
      </c>
    </row>
    <row r="113" spans="1:15" x14ac:dyDescent="0.3">
      <c r="A113">
        <v>112</v>
      </c>
      <c r="B113" s="1">
        <v>45713</v>
      </c>
      <c r="C113" t="s">
        <v>17</v>
      </c>
      <c r="D113" t="s">
        <v>20</v>
      </c>
      <c r="E113">
        <v>84</v>
      </c>
      <c r="F113">
        <v>385</v>
      </c>
      <c r="G113">
        <v>600</v>
      </c>
      <c r="H113">
        <v>600</v>
      </c>
      <c r="I113" t="s">
        <v>14</v>
      </c>
      <c r="J113" t="str">
        <f>UPPER(TRIM(cloudSense[[#This Row],[service_name]]))</f>
        <v>RDS</v>
      </c>
      <c r="K113" t="str">
        <f>LOWER(TRIM(cloudSense[[#This Row],[region]]))</f>
        <v>asia-south</v>
      </c>
      <c r="L113" t="str">
        <f>PROPER(TRIM(cloudSense[[#This Row],[resource_status]]))</f>
        <v>Active</v>
      </c>
      <c r="N113">
        <f>cloudSense[[#This Row],[allocated_cost]]-cloudSense[[#This Row],[actual_used_cost]]</f>
        <v>0</v>
      </c>
      <c r="O113" s="2">
        <f>(cloudSense[[#This Row],[allocated_cost]]-cloudSense[[#This Row],[actual_used_cost]])/cloudSense[[#This Row],[allocated_cost]]*100</f>
        <v>0</v>
      </c>
    </row>
    <row r="114" spans="1:15" x14ac:dyDescent="0.3">
      <c r="A114">
        <v>113</v>
      </c>
      <c r="B114" s="1">
        <v>45714</v>
      </c>
      <c r="C114" t="s">
        <v>19</v>
      </c>
      <c r="D114" t="s">
        <v>13</v>
      </c>
      <c r="E114">
        <v>4</v>
      </c>
      <c r="F114">
        <v>17</v>
      </c>
      <c r="G114">
        <v>200</v>
      </c>
      <c r="H114">
        <v>43</v>
      </c>
      <c r="I114" t="s">
        <v>11</v>
      </c>
      <c r="J114" t="str">
        <f>UPPER(TRIM(cloudSense[[#This Row],[service_name]]))</f>
        <v>LAMBDA</v>
      </c>
      <c r="K114" t="str">
        <f>LOWER(TRIM(cloudSense[[#This Row],[region]]))</f>
        <v>us-west</v>
      </c>
      <c r="L114" t="str">
        <f>PROPER(TRIM(cloudSense[[#This Row],[resource_status]]))</f>
        <v>Idle</v>
      </c>
      <c r="N114">
        <f>cloudSense[[#This Row],[allocated_cost]]-cloudSense[[#This Row],[actual_used_cost]]</f>
        <v>157</v>
      </c>
      <c r="O114" s="2">
        <f>(cloudSense[[#This Row],[allocated_cost]]-cloudSense[[#This Row],[actual_used_cost]])/cloudSense[[#This Row],[allocated_cost]]*100</f>
        <v>78.5</v>
      </c>
    </row>
    <row r="115" spans="1:15" x14ac:dyDescent="0.3">
      <c r="A115">
        <v>114</v>
      </c>
      <c r="B115" s="1">
        <v>45714</v>
      </c>
      <c r="C115" t="s">
        <v>12</v>
      </c>
      <c r="D115" t="s">
        <v>13</v>
      </c>
      <c r="E115">
        <v>94</v>
      </c>
      <c r="F115">
        <v>548</v>
      </c>
      <c r="G115">
        <v>700</v>
      </c>
      <c r="H115">
        <v>699</v>
      </c>
      <c r="I115" t="s">
        <v>14</v>
      </c>
      <c r="J115" t="str">
        <f>UPPER(TRIM(cloudSense[[#This Row],[service_name]]))</f>
        <v>S3</v>
      </c>
      <c r="K115" t="str">
        <f>LOWER(TRIM(cloudSense[[#This Row],[region]]))</f>
        <v>us-west</v>
      </c>
      <c r="L115" t="str">
        <f>PROPER(TRIM(cloudSense[[#This Row],[resource_status]]))</f>
        <v>Active</v>
      </c>
      <c r="N115">
        <f>cloudSense[[#This Row],[allocated_cost]]-cloudSense[[#This Row],[actual_used_cost]]</f>
        <v>1</v>
      </c>
      <c r="O115" s="2">
        <f>(cloudSense[[#This Row],[allocated_cost]]-cloudSense[[#This Row],[actual_used_cost]])/cloudSense[[#This Row],[allocated_cost]]*100</f>
        <v>0.14285714285714285</v>
      </c>
    </row>
    <row r="116" spans="1:15" x14ac:dyDescent="0.3">
      <c r="A116">
        <v>115</v>
      </c>
      <c r="B116" s="1">
        <v>45715</v>
      </c>
      <c r="C116" t="s">
        <v>9</v>
      </c>
      <c r="D116" t="s">
        <v>10</v>
      </c>
      <c r="E116">
        <v>34</v>
      </c>
      <c r="F116">
        <v>168</v>
      </c>
      <c r="G116">
        <v>500</v>
      </c>
      <c r="H116">
        <v>290</v>
      </c>
      <c r="I116" t="s">
        <v>14</v>
      </c>
      <c r="J116" t="str">
        <f>UPPER(TRIM(cloudSense[[#This Row],[service_name]]))</f>
        <v>EC2</v>
      </c>
      <c r="K116" t="str">
        <f>LOWER(TRIM(cloudSense[[#This Row],[region]]))</f>
        <v>us-east</v>
      </c>
      <c r="L116" t="str">
        <f>PROPER(TRIM(cloudSense[[#This Row],[resource_status]]))</f>
        <v>Active</v>
      </c>
      <c r="N116">
        <f>cloudSense[[#This Row],[allocated_cost]]-cloudSense[[#This Row],[actual_used_cost]]</f>
        <v>210</v>
      </c>
      <c r="O116" s="2">
        <f>(cloudSense[[#This Row],[allocated_cost]]-cloudSense[[#This Row],[actual_used_cost]])/cloudSense[[#This Row],[allocated_cost]]*100</f>
        <v>42</v>
      </c>
    </row>
    <row r="117" spans="1:15" x14ac:dyDescent="0.3">
      <c r="A117">
        <v>116</v>
      </c>
      <c r="B117" s="1">
        <v>45715</v>
      </c>
      <c r="C117" t="s">
        <v>17</v>
      </c>
      <c r="D117" t="s">
        <v>18</v>
      </c>
      <c r="F117">
        <v>288</v>
      </c>
      <c r="G117">
        <v>600</v>
      </c>
      <c r="H117">
        <v>402</v>
      </c>
      <c r="I117" t="s">
        <v>11</v>
      </c>
      <c r="J117" t="str">
        <f>UPPER(TRIM(cloudSense[[#This Row],[service_name]]))</f>
        <v>RDS</v>
      </c>
      <c r="K117" t="str">
        <f>LOWER(TRIM(cloudSense[[#This Row],[region]]))</f>
        <v>eu-central</v>
      </c>
      <c r="L117" t="str">
        <f>PROPER(TRIM(cloudSense[[#This Row],[resource_status]]))</f>
        <v>Idle</v>
      </c>
      <c r="N117">
        <f>cloudSense[[#This Row],[allocated_cost]]-cloudSense[[#This Row],[actual_used_cost]]</f>
        <v>198</v>
      </c>
      <c r="O117" s="2">
        <f>(cloudSense[[#This Row],[allocated_cost]]-cloudSense[[#This Row],[actual_used_cost]])/cloudSense[[#This Row],[allocated_cost]]*100</f>
        <v>33</v>
      </c>
    </row>
    <row r="118" spans="1:15" x14ac:dyDescent="0.3">
      <c r="A118">
        <v>117</v>
      </c>
      <c r="B118" s="1">
        <v>45716</v>
      </c>
      <c r="C118" t="s">
        <v>19</v>
      </c>
      <c r="D118" t="s">
        <v>20</v>
      </c>
      <c r="E118">
        <v>7</v>
      </c>
      <c r="F118">
        <v>28</v>
      </c>
      <c r="G118">
        <v>200</v>
      </c>
      <c r="H118">
        <v>60</v>
      </c>
      <c r="I118" t="s">
        <v>11</v>
      </c>
      <c r="J118" t="str">
        <f>UPPER(TRIM(cloudSense[[#This Row],[service_name]]))</f>
        <v>LAMBDA</v>
      </c>
      <c r="K118" t="str">
        <f>LOWER(TRIM(cloudSense[[#This Row],[region]]))</f>
        <v>asia-south</v>
      </c>
      <c r="L118" t="str">
        <f>PROPER(TRIM(cloudSense[[#This Row],[resource_status]]))</f>
        <v>Idle</v>
      </c>
      <c r="N118">
        <f>cloudSense[[#This Row],[allocated_cost]]-cloudSense[[#This Row],[actual_used_cost]]</f>
        <v>140</v>
      </c>
      <c r="O118" s="2">
        <f>(cloudSense[[#This Row],[allocated_cost]]-cloudSense[[#This Row],[actual_used_cost]])/cloudSense[[#This Row],[allocated_cost]]*100</f>
        <v>70</v>
      </c>
    </row>
    <row r="119" spans="1:15" x14ac:dyDescent="0.3">
      <c r="A119">
        <v>118</v>
      </c>
      <c r="B119" s="1">
        <v>45716</v>
      </c>
      <c r="C119" t="s">
        <v>12</v>
      </c>
      <c r="D119" t="s">
        <v>13</v>
      </c>
      <c r="E119">
        <v>97</v>
      </c>
      <c r="F119">
        <v>578</v>
      </c>
      <c r="G119">
        <v>700</v>
      </c>
      <c r="H119">
        <v>700</v>
      </c>
      <c r="I119" t="s">
        <v>14</v>
      </c>
      <c r="J119" t="str">
        <f>UPPER(TRIM(cloudSense[[#This Row],[service_name]]))</f>
        <v>S3</v>
      </c>
      <c r="K119" t="str">
        <f>LOWER(TRIM(cloudSense[[#This Row],[region]]))</f>
        <v>us-west</v>
      </c>
      <c r="L119" t="str">
        <f>PROPER(TRIM(cloudSense[[#This Row],[resource_status]]))</f>
        <v>Active</v>
      </c>
      <c r="N119">
        <f>cloudSense[[#This Row],[allocated_cost]]-cloudSense[[#This Row],[actual_used_cost]]</f>
        <v>0</v>
      </c>
      <c r="O119" s="2">
        <f>(cloudSense[[#This Row],[allocated_cost]]-cloudSense[[#This Row],[actual_used_cost]])/cloudSense[[#This Row],[allocated_cost]]*100</f>
        <v>0</v>
      </c>
    </row>
    <row r="120" spans="1:15" x14ac:dyDescent="0.3">
      <c r="A120">
        <v>119</v>
      </c>
      <c r="B120" s="1">
        <v>45717</v>
      </c>
      <c r="C120" t="s">
        <v>15</v>
      </c>
      <c r="D120" t="s">
        <v>10</v>
      </c>
      <c r="E120">
        <v>19</v>
      </c>
      <c r="F120">
        <v>115</v>
      </c>
      <c r="G120">
        <v>500</v>
      </c>
      <c r="H120">
        <v>185</v>
      </c>
      <c r="I120" t="s">
        <v>16</v>
      </c>
      <c r="J120" t="str">
        <f>UPPER(TRIM(cloudSense[[#This Row],[service_name]]))</f>
        <v>EC2</v>
      </c>
      <c r="K120" t="str">
        <f>LOWER(TRIM(cloudSense[[#This Row],[region]]))</f>
        <v>us-east</v>
      </c>
      <c r="L120" t="str">
        <f>PROPER(TRIM(cloudSense[[#This Row],[resource_status]]))</f>
        <v>Idle</v>
      </c>
      <c r="N120">
        <f>cloudSense[[#This Row],[allocated_cost]]-cloudSense[[#This Row],[actual_used_cost]]</f>
        <v>315</v>
      </c>
      <c r="O120" s="2">
        <f>(cloudSense[[#This Row],[allocated_cost]]-cloudSense[[#This Row],[actual_used_cost]])/cloudSense[[#This Row],[allocated_cost]]*100</f>
        <v>63</v>
      </c>
    </row>
    <row r="121" spans="1:15" x14ac:dyDescent="0.3">
      <c r="A121">
        <v>120</v>
      </c>
      <c r="B121" s="1">
        <v>45717</v>
      </c>
      <c r="C121" t="s">
        <v>17</v>
      </c>
      <c r="D121" t="s">
        <v>21</v>
      </c>
      <c r="E121">
        <v>70</v>
      </c>
      <c r="F121">
        <v>325</v>
      </c>
      <c r="G121">
        <v>600</v>
      </c>
      <c r="H121">
        <v>585</v>
      </c>
      <c r="I121" t="s">
        <v>14</v>
      </c>
      <c r="J121" t="str">
        <f>UPPER(TRIM(cloudSense[[#This Row],[service_name]]))</f>
        <v>RDS</v>
      </c>
      <c r="K121" t="str">
        <f>LOWER(TRIM(cloudSense[[#This Row],[region]]))</f>
        <v>eu-central</v>
      </c>
      <c r="L121" t="str">
        <f>PROPER(TRIM(cloudSense[[#This Row],[resource_status]]))</f>
        <v>Active</v>
      </c>
      <c r="N121">
        <f>cloudSense[[#This Row],[allocated_cost]]-cloudSense[[#This Row],[actual_used_cost]]</f>
        <v>15</v>
      </c>
      <c r="O121" s="2">
        <f>(cloudSense[[#This Row],[allocated_cost]]-cloudSense[[#This Row],[actual_used_cost]])/cloudSense[[#This Row],[allocated_cost]]*100</f>
        <v>2.5</v>
      </c>
    </row>
    <row r="122" spans="1:15" x14ac:dyDescent="0.3">
      <c r="A122">
        <v>121</v>
      </c>
      <c r="B122" s="1">
        <v>45718</v>
      </c>
      <c r="C122" t="s">
        <v>9</v>
      </c>
      <c r="D122" t="s">
        <v>10</v>
      </c>
      <c r="E122">
        <v>37</v>
      </c>
      <c r="F122">
        <v>175</v>
      </c>
      <c r="G122">
        <v>500</v>
      </c>
      <c r="H122">
        <v>305</v>
      </c>
      <c r="I122" t="s">
        <v>14</v>
      </c>
      <c r="J122" t="str">
        <f>UPPER(TRIM(cloudSense[[#This Row],[service_name]]))</f>
        <v>EC2</v>
      </c>
      <c r="K122" t="str">
        <f>LOWER(TRIM(cloudSense[[#This Row],[region]]))</f>
        <v>us-east</v>
      </c>
      <c r="L122" t="str">
        <f>PROPER(TRIM(cloudSense[[#This Row],[resource_status]]))</f>
        <v>Active</v>
      </c>
      <c r="N122">
        <f>cloudSense[[#This Row],[allocated_cost]]-cloudSense[[#This Row],[actual_used_cost]]</f>
        <v>195</v>
      </c>
      <c r="O122" s="2">
        <f>(cloudSense[[#This Row],[allocated_cost]]-cloudSense[[#This Row],[actual_used_cost]])/cloudSense[[#This Row],[allocated_cost]]*100</f>
        <v>39</v>
      </c>
    </row>
    <row r="123" spans="1:15" x14ac:dyDescent="0.3">
      <c r="A123">
        <v>122</v>
      </c>
      <c r="B123" s="1">
        <v>45718</v>
      </c>
      <c r="C123" t="s">
        <v>12</v>
      </c>
      <c r="D123" t="s">
        <v>13</v>
      </c>
      <c r="E123">
        <v>77</v>
      </c>
      <c r="F123">
        <v>460</v>
      </c>
      <c r="G123">
        <v>700</v>
      </c>
      <c r="H123">
        <v>650</v>
      </c>
      <c r="I123" t="s">
        <v>14</v>
      </c>
      <c r="J123" t="str">
        <f>UPPER(TRIM(cloudSense[[#This Row],[service_name]]))</f>
        <v>S3</v>
      </c>
      <c r="K123" t="str">
        <f>LOWER(TRIM(cloudSense[[#This Row],[region]]))</f>
        <v>us-west</v>
      </c>
      <c r="L123" t="str">
        <f>PROPER(TRIM(cloudSense[[#This Row],[resource_status]]))</f>
        <v>Active</v>
      </c>
      <c r="N123">
        <f>cloudSense[[#This Row],[allocated_cost]]-cloudSense[[#This Row],[actual_used_cost]]</f>
        <v>50</v>
      </c>
      <c r="O123" s="2">
        <f>(cloudSense[[#This Row],[allocated_cost]]-cloudSense[[#This Row],[actual_used_cost]])/cloudSense[[#This Row],[allocated_cost]]*100</f>
        <v>7.1428571428571423</v>
      </c>
    </row>
    <row r="124" spans="1:15" x14ac:dyDescent="0.3">
      <c r="A124">
        <v>123</v>
      </c>
      <c r="B124" s="1">
        <v>45719</v>
      </c>
      <c r="C124" t="s">
        <v>15</v>
      </c>
      <c r="D124" t="s">
        <v>10</v>
      </c>
      <c r="E124">
        <v>15</v>
      </c>
      <c r="F124">
        <v>106</v>
      </c>
      <c r="G124">
        <v>500</v>
      </c>
      <c r="H124">
        <v>130</v>
      </c>
      <c r="I124" t="s">
        <v>11</v>
      </c>
      <c r="J124" t="str">
        <f>UPPER(TRIM(cloudSense[[#This Row],[service_name]]))</f>
        <v>EC2</v>
      </c>
      <c r="K124" t="str">
        <f>LOWER(TRIM(cloudSense[[#This Row],[region]]))</f>
        <v>us-east</v>
      </c>
      <c r="L124" t="str">
        <f>PROPER(TRIM(cloudSense[[#This Row],[resource_status]]))</f>
        <v>Idle</v>
      </c>
      <c r="N124">
        <f>cloudSense[[#This Row],[allocated_cost]]-cloudSense[[#This Row],[actual_used_cost]]</f>
        <v>370</v>
      </c>
      <c r="O124" s="2">
        <f>(cloudSense[[#This Row],[allocated_cost]]-cloudSense[[#This Row],[actual_used_cost]])/cloudSense[[#This Row],[allocated_cost]]*100</f>
        <v>74</v>
      </c>
    </row>
    <row r="125" spans="1:15" x14ac:dyDescent="0.3">
      <c r="A125">
        <v>124</v>
      </c>
      <c r="B125" s="1">
        <v>45719</v>
      </c>
      <c r="C125" t="s">
        <v>17</v>
      </c>
      <c r="D125" t="s">
        <v>18</v>
      </c>
      <c r="E125">
        <v>62</v>
      </c>
      <c r="F125">
        <v>310</v>
      </c>
      <c r="G125">
        <v>600</v>
      </c>
      <c r="H125">
        <v>520</v>
      </c>
      <c r="I125" t="s">
        <v>14</v>
      </c>
      <c r="J125" t="str">
        <f>UPPER(TRIM(cloudSense[[#This Row],[service_name]]))</f>
        <v>RDS</v>
      </c>
      <c r="K125" t="str">
        <f>LOWER(TRIM(cloudSense[[#This Row],[region]]))</f>
        <v>eu-central</v>
      </c>
      <c r="L125" t="str">
        <f>PROPER(TRIM(cloudSense[[#This Row],[resource_status]]))</f>
        <v>Active</v>
      </c>
      <c r="N125">
        <f>cloudSense[[#This Row],[allocated_cost]]-cloudSense[[#This Row],[actual_used_cost]]</f>
        <v>80</v>
      </c>
      <c r="O125" s="2">
        <f>(cloudSense[[#This Row],[allocated_cost]]-cloudSense[[#This Row],[actual_used_cost]])/cloudSense[[#This Row],[allocated_cost]]*100</f>
        <v>13.333333333333334</v>
      </c>
    </row>
    <row r="126" spans="1:15" x14ac:dyDescent="0.3">
      <c r="A126">
        <v>125</v>
      </c>
      <c r="B126" s="1">
        <v>45720</v>
      </c>
      <c r="C126" t="s">
        <v>19</v>
      </c>
      <c r="D126" t="s">
        <v>20</v>
      </c>
      <c r="E126">
        <v>5</v>
      </c>
      <c r="F126">
        <v>25</v>
      </c>
      <c r="G126">
        <v>200</v>
      </c>
      <c r="H126">
        <v>55</v>
      </c>
      <c r="I126" t="s">
        <v>11</v>
      </c>
      <c r="J126" t="str">
        <f>UPPER(TRIM(cloudSense[[#This Row],[service_name]]))</f>
        <v>LAMBDA</v>
      </c>
      <c r="K126" t="str">
        <f>LOWER(TRIM(cloudSense[[#This Row],[region]]))</f>
        <v>asia-south</v>
      </c>
      <c r="L126" t="str">
        <f>PROPER(TRIM(cloudSense[[#This Row],[resource_status]]))</f>
        <v>Idle</v>
      </c>
      <c r="N126">
        <f>cloudSense[[#This Row],[allocated_cost]]-cloudSense[[#This Row],[actual_used_cost]]</f>
        <v>145</v>
      </c>
      <c r="O126" s="2">
        <f>(cloudSense[[#This Row],[allocated_cost]]-cloudSense[[#This Row],[actual_used_cost]])/cloudSense[[#This Row],[allocated_cost]]*100</f>
        <v>72.5</v>
      </c>
    </row>
    <row r="127" spans="1:15" x14ac:dyDescent="0.3">
      <c r="A127">
        <v>126</v>
      </c>
      <c r="B127" s="1">
        <v>45720</v>
      </c>
      <c r="C127" t="s">
        <v>12</v>
      </c>
      <c r="D127" t="s">
        <v>13</v>
      </c>
      <c r="E127">
        <v>86</v>
      </c>
      <c r="F127">
        <v>500</v>
      </c>
      <c r="G127">
        <v>700</v>
      </c>
      <c r="H127">
        <v>670</v>
      </c>
      <c r="I127" t="s">
        <v>14</v>
      </c>
      <c r="J127" t="str">
        <f>UPPER(TRIM(cloudSense[[#This Row],[service_name]]))</f>
        <v>S3</v>
      </c>
      <c r="K127" t="str">
        <f>LOWER(TRIM(cloudSense[[#This Row],[region]]))</f>
        <v>us-west</v>
      </c>
      <c r="L127" t="str">
        <f>PROPER(TRIM(cloudSense[[#This Row],[resource_status]]))</f>
        <v>Active</v>
      </c>
      <c r="N127">
        <f>cloudSense[[#This Row],[allocated_cost]]-cloudSense[[#This Row],[actual_used_cost]]</f>
        <v>30</v>
      </c>
      <c r="O127" s="2">
        <f>(cloudSense[[#This Row],[allocated_cost]]-cloudSense[[#This Row],[actual_used_cost]])/cloudSense[[#This Row],[allocated_cost]]*100</f>
        <v>4.2857142857142856</v>
      </c>
    </row>
    <row r="128" spans="1:15" x14ac:dyDescent="0.3">
      <c r="A128">
        <v>127</v>
      </c>
      <c r="B128" s="1">
        <v>45721</v>
      </c>
      <c r="C128" t="s">
        <v>9</v>
      </c>
      <c r="D128" t="s">
        <v>10</v>
      </c>
      <c r="E128">
        <v>41</v>
      </c>
      <c r="F128">
        <v>185</v>
      </c>
      <c r="G128">
        <v>500</v>
      </c>
      <c r="H128">
        <v>350</v>
      </c>
      <c r="I128" t="s">
        <v>14</v>
      </c>
      <c r="J128" t="str">
        <f>UPPER(TRIM(cloudSense[[#This Row],[service_name]]))</f>
        <v>EC2</v>
      </c>
      <c r="K128" t="str">
        <f>LOWER(TRIM(cloudSense[[#This Row],[region]]))</f>
        <v>us-east</v>
      </c>
      <c r="L128" t="str">
        <f>PROPER(TRIM(cloudSense[[#This Row],[resource_status]]))</f>
        <v>Active</v>
      </c>
      <c r="N128">
        <f>cloudSense[[#This Row],[allocated_cost]]-cloudSense[[#This Row],[actual_used_cost]]</f>
        <v>150</v>
      </c>
      <c r="O128" s="2">
        <f>(cloudSense[[#This Row],[allocated_cost]]-cloudSense[[#This Row],[actual_used_cost]])/cloudSense[[#This Row],[allocated_cost]]*100</f>
        <v>30</v>
      </c>
    </row>
    <row r="129" spans="1:15" x14ac:dyDescent="0.3">
      <c r="A129">
        <v>128</v>
      </c>
      <c r="B129" s="1">
        <v>45721</v>
      </c>
      <c r="C129" t="s">
        <v>17</v>
      </c>
      <c r="D129" t="s">
        <v>21</v>
      </c>
      <c r="E129">
        <v>26</v>
      </c>
      <c r="F129">
        <v>235</v>
      </c>
      <c r="G129">
        <v>600</v>
      </c>
      <c r="H129">
        <v>190</v>
      </c>
      <c r="I129" t="s">
        <v>11</v>
      </c>
      <c r="J129" t="str">
        <f>UPPER(TRIM(cloudSense[[#This Row],[service_name]]))</f>
        <v>RDS</v>
      </c>
      <c r="K129" t="str">
        <f>LOWER(TRIM(cloudSense[[#This Row],[region]]))</f>
        <v>eu-central</v>
      </c>
      <c r="L129" t="str">
        <f>PROPER(TRIM(cloudSense[[#This Row],[resource_status]]))</f>
        <v>Idle</v>
      </c>
      <c r="N129">
        <f>cloudSense[[#This Row],[allocated_cost]]-cloudSense[[#This Row],[actual_used_cost]]</f>
        <v>410</v>
      </c>
      <c r="O129" s="2">
        <f>(cloudSense[[#This Row],[allocated_cost]]-cloudSense[[#This Row],[actual_used_cost]])/cloudSense[[#This Row],[allocated_cost]]*100</f>
        <v>68.333333333333329</v>
      </c>
    </row>
    <row r="130" spans="1:15" x14ac:dyDescent="0.3">
      <c r="A130">
        <v>129</v>
      </c>
      <c r="B130" s="1">
        <v>45722</v>
      </c>
      <c r="C130" t="s">
        <v>9</v>
      </c>
      <c r="D130" t="s">
        <v>10</v>
      </c>
      <c r="E130">
        <v>92</v>
      </c>
      <c r="F130">
        <v>280</v>
      </c>
      <c r="G130">
        <v>500</v>
      </c>
      <c r="H130">
        <v>485</v>
      </c>
      <c r="I130" t="s">
        <v>14</v>
      </c>
      <c r="J130" t="str">
        <f>UPPER(TRIM(cloudSense[[#This Row],[service_name]]))</f>
        <v>EC2</v>
      </c>
      <c r="K130" t="str">
        <f>LOWER(TRIM(cloudSense[[#This Row],[region]]))</f>
        <v>us-east</v>
      </c>
      <c r="L130" t="str">
        <f>PROPER(TRIM(cloudSense[[#This Row],[resource_status]]))</f>
        <v>Active</v>
      </c>
      <c r="N130">
        <f>cloudSense[[#This Row],[allocated_cost]]-cloudSense[[#This Row],[actual_used_cost]]</f>
        <v>15</v>
      </c>
      <c r="O130" s="2">
        <f>(cloudSense[[#This Row],[allocated_cost]]-cloudSense[[#This Row],[actual_used_cost]])/cloudSense[[#This Row],[allocated_cost]]*100</f>
        <v>3</v>
      </c>
    </row>
    <row r="131" spans="1:15" x14ac:dyDescent="0.3">
      <c r="A131">
        <v>130</v>
      </c>
      <c r="B131" s="1">
        <v>45722</v>
      </c>
      <c r="C131" t="s">
        <v>12</v>
      </c>
      <c r="D131" t="s">
        <v>13</v>
      </c>
      <c r="E131">
        <v>59</v>
      </c>
      <c r="F131">
        <v>530</v>
      </c>
      <c r="G131">
        <v>700</v>
      </c>
      <c r="H131">
        <v>450</v>
      </c>
      <c r="I131" t="s">
        <v>14</v>
      </c>
      <c r="J131" t="str">
        <f>UPPER(TRIM(cloudSense[[#This Row],[service_name]]))</f>
        <v>S3</v>
      </c>
      <c r="K131" t="str">
        <f>LOWER(TRIM(cloudSense[[#This Row],[region]]))</f>
        <v>us-west</v>
      </c>
      <c r="L131" t="str">
        <f>PROPER(TRIM(cloudSense[[#This Row],[resource_status]]))</f>
        <v>Active</v>
      </c>
      <c r="N131">
        <f>cloudSense[[#This Row],[allocated_cost]]-cloudSense[[#This Row],[actual_used_cost]]</f>
        <v>250</v>
      </c>
      <c r="O131" s="2">
        <f>(cloudSense[[#This Row],[allocated_cost]]-cloudSense[[#This Row],[actual_used_cost]])/cloudSense[[#This Row],[allocated_cost]]*100</f>
        <v>35.714285714285715</v>
      </c>
    </row>
    <row r="132" spans="1:15" x14ac:dyDescent="0.3">
      <c r="A132">
        <v>131</v>
      </c>
      <c r="B132" s="1">
        <v>45723</v>
      </c>
      <c r="C132" t="s">
        <v>15</v>
      </c>
      <c r="D132" t="s">
        <v>10</v>
      </c>
      <c r="E132">
        <v>14</v>
      </c>
      <c r="F132">
        <v>101</v>
      </c>
      <c r="G132">
        <v>500</v>
      </c>
      <c r="H132">
        <v>120</v>
      </c>
      <c r="I132" t="s">
        <v>11</v>
      </c>
      <c r="J132" t="str">
        <f>UPPER(TRIM(cloudSense[[#This Row],[service_name]]))</f>
        <v>EC2</v>
      </c>
      <c r="K132" t="str">
        <f>LOWER(TRIM(cloudSense[[#This Row],[region]]))</f>
        <v>us-east</v>
      </c>
      <c r="L132" t="str">
        <f>PROPER(TRIM(cloudSense[[#This Row],[resource_status]]))</f>
        <v>Idle</v>
      </c>
      <c r="N132">
        <f>cloudSense[[#This Row],[allocated_cost]]-cloudSense[[#This Row],[actual_used_cost]]</f>
        <v>380</v>
      </c>
      <c r="O132" s="2">
        <f>(cloudSense[[#This Row],[allocated_cost]]-cloudSense[[#This Row],[actual_used_cost]])/cloudSense[[#This Row],[allocated_cost]]*100</f>
        <v>76</v>
      </c>
    </row>
    <row r="133" spans="1:15" x14ac:dyDescent="0.3">
      <c r="A133">
        <v>132</v>
      </c>
      <c r="B133" s="1">
        <v>45723</v>
      </c>
      <c r="C133" t="s">
        <v>17</v>
      </c>
      <c r="D133" t="s">
        <v>20</v>
      </c>
      <c r="E133">
        <v>85</v>
      </c>
      <c r="F133">
        <v>390</v>
      </c>
      <c r="G133">
        <v>600</v>
      </c>
      <c r="H133">
        <v>600</v>
      </c>
      <c r="I133" t="s">
        <v>14</v>
      </c>
      <c r="J133" t="str">
        <f>UPPER(TRIM(cloudSense[[#This Row],[service_name]]))</f>
        <v>RDS</v>
      </c>
      <c r="K133" t="str">
        <f>LOWER(TRIM(cloudSense[[#This Row],[region]]))</f>
        <v>asia-south</v>
      </c>
      <c r="L133" t="str">
        <f>PROPER(TRIM(cloudSense[[#This Row],[resource_status]]))</f>
        <v>Active</v>
      </c>
      <c r="N133">
        <f>cloudSense[[#This Row],[allocated_cost]]-cloudSense[[#This Row],[actual_used_cost]]</f>
        <v>0</v>
      </c>
      <c r="O133" s="2">
        <f>(cloudSense[[#This Row],[allocated_cost]]-cloudSense[[#This Row],[actual_used_cost]])/cloudSense[[#This Row],[allocated_cost]]*100</f>
        <v>0</v>
      </c>
    </row>
    <row r="134" spans="1:15" x14ac:dyDescent="0.3">
      <c r="A134">
        <v>133</v>
      </c>
      <c r="B134" s="1">
        <v>45724</v>
      </c>
      <c r="C134" t="s">
        <v>19</v>
      </c>
      <c r="D134" t="s">
        <v>13</v>
      </c>
      <c r="E134">
        <v>3</v>
      </c>
      <c r="F134">
        <v>16</v>
      </c>
      <c r="G134">
        <v>200</v>
      </c>
      <c r="H134">
        <v>41</v>
      </c>
      <c r="I134" t="s">
        <v>11</v>
      </c>
      <c r="J134" t="str">
        <f>UPPER(TRIM(cloudSense[[#This Row],[service_name]]))</f>
        <v>LAMBDA</v>
      </c>
      <c r="K134" t="str">
        <f>LOWER(TRIM(cloudSense[[#This Row],[region]]))</f>
        <v>us-west</v>
      </c>
      <c r="L134" t="str">
        <f>PROPER(TRIM(cloudSense[[#This Row],[resource_status]]))</f>
        <v>Idle</v>
      </c>
      <c r="N134">
        <f>cloudSense[[#This Row],[allocated_cost]]-cloudSense[[#This Row],[actual_used_cost]]</f>
        <v>159</v>
      </c>
      <c r="O134" s="2">
        <f>(cloudSense[[#This Row],[allocated_cost]]-cloudSense[[#This Row],[actual_used_cost]])/cloudSense[[#This Row],[allocated_cost]]*100</f>
        <v>79.5</v>
      </c>
    </row>
    <row r="135" spans="1:15" x14ac:dyDescent="0.3">
      <c r="A135">
        <v>134</v>
      </c>
      <c r="B135" s="1">
        <v>45724</v>
      </c>
      <c r="C135" t="s">
        <v>12</v>
      </c>
      <c r="D135" t="s">
        <v>13</v>
      </c>
      <c r="E135">
        <v>95</v>
      </c>
      <c r="F135">
        <v>550</v>
      </c>
      <c r="G135">
        <v>700</v>
      </c>
      <c r="H135">
        <v>699</v>
      </c>
      <c r="I135" t="s">
        <v>14</v>
      </c>
      <c r="J135" t="str">
        <f>UPPER(TRIM(cloudSense[[#This Row],[service_name]]))</f>
        <v>S3</v>
      </c>
      <c r="K135" t="str">
        <f>LOWER(TRIM(cloudSense[[#This Row],[region]]))</f>
        <v>us-west</v>
      </c>
      <c r="L135" t="str">
        <f>PROPER(TRIM(cloudSense[[#This Row],[resource_status]]))</f>
        <v>Active</v>
      </c>
      <c r="N135">
        <f>cloudSense[[#This Row],[allocated_cost]]-cloudSense[[#This Row],[actual_used_cost]]</f>
        <v>1</v>
      </c>
      <c r="O135" s="2">
        <f>(cloudSense[[#This Row],[allocated_cost]]-cloudSense[[#This Row],[actual_used_cost]])/cloudSense[[#This Row],[allocated_cost]]*100</f>
        <v>0.14285714285714285</v>
      </c>
    </row>
    <row r="136" spans="1:15" x14ac:dyDescent="0.3">
      <c r="A136">
        <v>135</v>
      </c>
      <c r="B136" s="1">
        <v>45725</v>
      </c>
      <c r="C136" t="s">
        <v>9</v>
      </c>
      <c r="D136" t="s">
        <v>10</v>
      </c>
      <c r="E136">
        <v>35</v>
      </c>
      <c r="F136">
        <v>170</v>
      </c>
      <c r="G136">
        <v>500</v>
      </c>
      <c r="H136">
        <v>295</v>
      </c>
      <c r="I136" t="s">
        <v>14</v>
      </c>
      <c r="J136" t="str">
        <f>UPPER(TRIM(cloudSense[[#This Row],[service_name]]))</f>
        <v>EC2</v>
      </c>
      <c r="K136" t="str">
        <f>LOWER(TRIM(cloudSense[[#This Row],[region]]))</f>
        <v>us-east</v>
      </c>
      <c r="L136" t="str">
        <f>PROPER(TRIM(cloudSense[[#This Row],[resource_status]]))</f>
        <v>Active</v>
      </c>
      <c r="N136">
        <f>cloudSense[[#This Row],[allocated_cost]]-cloudSense[[#This Row],[actual_used_cost]]</f>
        <v>205</v>
      </c>
      <c r="O136" s="2">
        <f>(cloudSense[[#This Row],[allocated_cost]]-cloudSense[[#This Row],[actual_used_cost]])/cloudSense[[#This Row],[allocated_cost]]*100</f>
        <v>41</v>
      </c>
    </row>
    <row r="137" spans="1:15" x14ac:dyDescent="0.3">
      <c r="A137">
        <v>136</v>
      </c>
      <c r="B137" s="1">
        <v>45725</v>
      </c>
      <c r="C137" t="s">
        <v>17</v>
      </c>
      <c r="D137" t="s">
        <v>18</v>
      </c>
      <c r="F137">
        <v>290</v>
      </c>
      <c r="G137">
        <v>600</v>
      </c>
      <c r="H137">
        <v>405</v>
      </c>
      <c r="I137" t="s">
        <v>11</v>
      </c>
      <c r="J137" t="str">
        <f>UPPER(TRIM(cloudSense[[#This Row],[service_name]]))</f>
        <v>RDS</v>
      </c>
      <c r="K137" t="str">
        <f>LOWER(TRIM(cloudSense[[#This Row],[region]]))</f>
        <v>eu-central</v>
      </c>
      <c r="L137" t="str">
        <f>PROPER(TRIM(cloudSense[[#This Row],[resource_status]]))</f>
        <v>Idle</v>
      </c>
      <c r="N137">
        <f>cloudSense[[#This Row],[allocated_cost]]-cloudSense[[#This Row],[actual_used_cost]]</f>
        <v>195</v>
      </c>
      <c r="O137" s="2">
        <f>(cloudSense[[#This Row],[allocated_cost]]-cloudSense[[#This Row],[actual_used_cost]])/cloudSense[[#This Row],[allocated_cost]]*100</f>
        <v>32.5</v>
      </c>
    </row>
    <row r="138" spans="1:15" x14ac:dyDescent="0.3">
      <c r="A138">
        <v>137</v>
      </c>
      <c r="B138" s="1">
        <v>45726</v>
      </c>
      <c r="C138" t="s">
        <v>19</v>
      </c>
      <c r="D138" t="s">
        <v>20</v>
      </c>
      <c r="E138">
        <v>6</v>
      </c>
      <c r="F138">
        <v>27</v>
      </c>
      <c r="G138">
        <v>200</v>
      </c>
      <c r="H138">
        <v>58</v>
      </c>
      <c r="I138" t="s">
        <v>11</v>
      </c>
      <c r="J138" t="str">
        <f>UPPER(TRIM(cloudSense[[#This Row],[service_name]]))</f>
        <v>LAMBDA</v>
      </c>
      <c r="K138" t="str">
        <f>LOWER(TRIM(cloudSense[[#This Row],[region]]))</f>
        <v>asia-south</v>
      </c>
      <c r="L138" t="str">
        <f>PROPER(TRIM(cloudSense[[#This Row],[resource_status]]))</f>
        <v>Idle</v>
      </c>
      <c r="N138">
        <f>cloudSense[[#This Row],[allocated_cost]]-cloudSense[[#This Row],[actual_used_cost]]</f>
        <v>142</v>
      </c>
      <c r="O138" s="2">
        <f>(cloudSense[[#This Row],[allocated_cost]]-cloudSense[[#This Row],[actual_used_cost]])/cloudSense[[#This Row],[allocated_cost]]*100</f>
        <v>71</v>
      </c>
    </row>
    <row r="139" spans="1:15" x14ac:dyDescent="0.3">
      <c r="A139">
        <v>138</v>
      </c>
      <c r="B139" s="1">
        <v>45726</v>
      </c>
      <c r="C139" t="s">
        <v>12</v>
      </c>
      <c r="D139" t="s">
        <v>13</v>
      </c>
      <c r="E139">
        <v>98</v>
      </c>
      <c r="F139">
        <v>580</v>
      </c>
      <c r="G139">
        <v>700</v>
      </c>
      <c r="H139">
        <v>700</v>
      </c>
      <c r="I139" t="s">
        <v>14</v>
      </c>
      <c r="J139" t="str">
        <f>UPPER(TRIM(cloudSense[[#This Row],[service_name]]))</f>
        <v>S3</v>
      </c>
      <c r="K139" t="str">
        <f>LOWER(TRIM(cloudSense[[#This Row],[region]]))</f>
        <v>us-west</v>
      </c>
      <c r="L139" t="str">
        <f>PROPER(TRIM(cloudSense[[#This Row],[resource_status]]))</f>
        <v>Active</v>
      </c>
      <c r="N139">
        <f>cloudSense[[#This Row],[allocated_cost]]-cloudSense[[#This Row],[actual_used_cost]]</f>
        <v>0</v>
      </c>
      <c r="O139" s="2">
        <f>(cloudSense[[#This Row],[allocated_cost]]-cloudSense[[#This Row],[actual_used_cost]])/cloudSense[[#This Row],[allocated_cost]]*100</f>
        <v>0</v>
      </c>
    </row>
    <row r="140" spans="1:15" x14ac:dyDescent="0.3">
      <c r="A140">
        <v>139</v>
      </c>
      <c r="B140" s="1">
        <v>45727</v>
      </c>
      <c r="C140" t="s">
        <v>15</v>
      </c>
      <c r="D140" t="s">
        <v>10</v>
      </c>
      <c r="E140">
        <v>20</v>
      </c>
      <c r="F140">
        <v>118</v>
      </c>
      <c r="G140">
        <v>500</v>
      </c>
      <c r="H140">
        <v>190</v>
      </c>
      <c r="I140" t="s">
        <v>16</v>
      </c>
      <c r="J140" t="str">
        <f>UPPER(TRIM(cloudSense[[#This Row],[service_name]]))</f>
        <v>EC2</v>
      </c>
      <c r="K140" t="str">
        <f>LOWER(TRIM(cloudSense[[#This Row],[region]]))</f>
        <v>us-east</v>
      </c>
      <c r="L140" t="str">
        <f>PROPER(TRIM(cloudSense[[#This Row],[resource_status]]))</f>
        <v>Idle</v>
      </c>
      <c r="N140">
        <f>cloudSense[[#This Row],[allocated_cost]]-cloudSense[[#This Row],[actual_used_cost]]</f>
        <v>310</v>
      </c>
      <c r="O140" s="2">
        <f>(cloudSense[[#This Row],[allocated_cost]]-cloudSense[[#This Row],[actual_used_cost]])/cloudSense[[#This Row],[allocated_cost]]*100</f>
        <v>62</v>
      </c>
    </row>
    <row r="141" spans="1:15" x14ac:dyDescent="0.3">
      <c r="A141">
        <v>140</v>
      </c>
      <c r="B141" s="1">
        <v>45727</v>
      </c>
      <c r="C141" t="s">
        <v>17</v>
      </c>
      <c r="D141" t="s">
        <v>21</v>
      </c>
      <c r="E141">
        <v>72</v>
      </c>
      <c r="F141">
        <v>328</v>
      </c>
      <c r="G141">
        <v>600</v>
      </c>
      <c r="H141">
        <v>588</v>
      </c>
      <c r="I141" t="s">
        <v>14</v>
      </c>
      <c r="J141" t="str">
        <f>UPPER(TRIM(cloudSense[[#This Row],[service_name]]))</f>
        <v>RDS</v>
      </c>
      <c r="K141" t="str">
        <f>LOWER(TRIM(cloudSense[[#This Row],[region]]))</f>
        <v>eu-central</v>
      </c>
      <c r="L141" t="str">
        <f>PROPER(TRIM(cloudSense[[#This Row],[resource_status]]))</f>
        <v>Active</v>
      </c>
      <c r="N141">
        <f>cloudSense[[#This Row],[allocated_cost]]-cloudSense[[#This Row],[actual_used_cost]]</f>
        <v>12</v>
      </c>
      <c r="O141" s="2">
        <f>(cloudSense[[#This Row],[allocated_cost]]-cloudSense[[#This Row],[actual_used_cost]])/cloudSense[[#This Row],[allocated_cost]]*100</f>
        <v>2</v>
      </c>
    </row>
    <row r="142" spans="1:15" x14ac:dyDescent="0.3">
      <c r="A142">
        <v>141</v>
      </c>
      <c r="B142" s="1">
        <v>45728</v>
      </c>
      <c r="C142" t="s">
        <v>9</v>
      </c>
      <c r="D142" t="s">
        <v>10</v>
      </c>
      <c r="E142">
        <v>38</v>
      </c>
      <c r="F142">
        <v>178</v>
      </c>
      <c r="G142">
        <v>500</v>
      </c>
      <c r="H142">
        <v>310</v>
      </c>
      <c r="I142" t="s">
        <v>14</v>
      </c>
      <c r="J142" t="str">
        <f>UPPER(TRIM(cloudSense[[#This Row],[service_name]]))</f>
        <v>EC2</v>
      </c>
      <c r="K142" t="str">
        <f>LOWER(TRIM(cloudSense[[#This Row],[region]]))</f>
        <v>us-east</v>
      </c>
      <c r="L142" t="str">
        <f>PROPER(TRIM(cloudSense[[#This Row],[resource_status]]))</f>
        <v>Active</v>
      </c>
      <c r="N142">
        <f>cloudSense[[#This Row],[allocated_cost]]-cloudSense[[#This Row],[actual_used_cost]]</f>
        <v>190</v>
      </c>
      <c r="O142" s="2">
        <f>(cloudSense[[#This Row],[allocated_cost]]-cloudSense[[#This Row],[actual_used_cost]])/cloudSense[[#This Row],[allocated_cost]]*100</f>
        <v>38</v>
      </c>
    </row>
    <row r="143" spans="1:15" x14ac:dyDescent="0.3">
      <c r="A143">
        <v>142</v>
      </c>
      <c r="B143" s="1">
        <v>45728</v>
      </c>
      <c r="C143" t="s">
        <v>12</v>
      </c>
      <c r="D143" t="s">
        <v>13</v>
      </c>
      <c r="E143">
        <v>78</v>
      </c>
      <c r="F143">
        <v>465</v>
      </c>
      <c r="G143">
        <v>700</v>
      </c>
      <c r="H143">
        <v>655</v>
      </c>
      <c r="I143" t="s">
        <v>14</v>
      </c>
      <c r="J143" t="str">
        <f>UPPER(TRIM(cloudSense[[#This Row],[service_name]]))</f>
        <v>S3</v>
      </c>
      <c r="K143" t="str">
        <f>LOWER(TRIM(cloudSense[[#This Row],[region]]))</f>
        <v>us-west</v>
      </c>
      <c r="L143" t="str">
        <f>PROPER(TRIM(cloudSense[[#This Row],[resource_status]]))</f>
        <v>Active</v>
      </c>
      <c r="N143">
        <f>cloudSense[[#This Row],[allocated_cost]]-cloudSense[[#This Row],[actual_used_cost]]</f>
        <v>45</v>
      </c>
      <c r="O143" s="2">
        <f>(cloudSense[[#This Row],[allocated_cost]]-cloudSense[[#This Row],[actual_used_cost]])/cloudSense[[#This Row],[allocated_cost]]*100</f>
        <v>6.4285714285714279</v>
      </c>
    </row>
    <row r="144" spans="1:15" x14ac:dyDescent="0.3">
      <c r="A144">
        <v>143</v>
      </c>
      <c r="B144" s="1">
        <v>45729</v>
      </c>
      <c r="C144" t="s">
        <v>15</v>
      </c>
      <c r="D144" t="s">
        <v>10</v>
      </c>
      <c r="E144">
        <v>16</v>
      </c>
      <c r="F144">
        <v>108</v>
      </c>
      <c r="G144">
        <v>500</v>
      </c>
      <c r="H144">
        <v>135</v>
      </c>
      <c r="I144" t="s">
        <v>11</v>
      </c>
      <c r="J144" t="str">
        <f>UPPER(TRIM(cloudSense[[#This Row],[service_name]]))</f>
        <v>EC2</v>
      </c>
      <c r="K144" t="str">
        <f>LOWER(TRIM(cloudSense[[#This Row],[region]]))</f>
        <v>us-east</v>
      </c>
      <c r="L144" t="str">
        <f>PROPER(TRIM(cloudSense[[#This Row],[resource_status]]))</f>
        <v>Idle</v>
      </c>
      <c r="N144">
        <f>cloudSense[[#This Row],[allocated_cost]]-cloudSense[[#This Row],[actual_used_cost]]</f>
        <v>365</v>
      </c>
      <c r="O144" s="2">
        <f>(cloudSense[[#This Row],[allocated_cost]]-cloudSense[[#This Row],[actual_used_cost]])/cloudSense[[#This Row],[allocated_cost]]*100</f>
        <v>73</v>
      </c>
    </row>
    <row r="145" spans="1:15" x14ac:dyDescent="0.3">
      <c r="A145">
        <v>144</v>
      </c>
      <c r="B145" s="1">
        <v>45729</v>
      </c>
      <c r="C145" t="s">
        <v>17</v>
      </c>
      <c r="D145" t="s">
        <v>18</v>
      </c>
      <c r="E145">
        <v>63</v>
      </c>
      <c r="F145">
        <v>312</v>
      </c>
      <c r="G145">
        <v>600</v>
      </c>
      <c r="H145">
        <v>525</v>
      </c>
      <c r="I145" t="s">
        <v>14</v>
      </c>
      <c r="J145" t="str">
        <f>UPPER(TRIM(cloudSense[[#This Row],[service_name]]))</f>
        <v>RDS</v>
      </c>
      <c r="K145" t="str">
        <f>LOWER(TRIM(cloudSense[[#This Row],[region]]))</f>
        <v>eu-central</v>
      </c>
      <c r="L145" t="str">
        <f>PROPER(TRIM(cloudSense[[#This Row],[resource_status]]))</f>
        <v>Active</v>
      </c>
      <c r="N145">
        <f>cloudSense[[#This Row],[allocated_cost]]-cloudSense[[#This Row],[actual_used_cost]]</f>
        <v>75</v>
      </c>
      <c r="O145" s="2">
        <f>(cloudSense[[#This Row],[allocated_cost]]-cloudSense[[#This Row],[actual_used_cost]])/cloudSense[[#This Row],[allocated_cost]]*100</f>
        <v>12.5</v>
      </c>
    </row>
    <row r="146" spans="1:15" x14ac:dyDescent="0.3">
      <c r="A146">
        <v>145</v>
      </c>
      <c r="B146" s="1">
        <v>45730</v>
      </c>
      <c r="C146" t="s">
        <v>19</v>
      </c>
      <c r="D146" t="s">
        <v>20</v>
      </c>
      <c r="E146">
        <v>5</v>
      </c>
      <c r="F146">
        <v>26</v>
      </c>
      <c r="G146">
        <v>200</v>
      </c>
      <c r="H146">
        <v>56</v>
      </c>
      <c r="I146" t="s">
        <v>11</v>
      </c>
      <c r="J146" t="str">
        <f>UPPER(TRIM(cloudSense[[#This Row],[service_name]]))</f>
        <v>LAMBDA</v>
      </c>
      <c r="K146" t="str">
        <f>LOWER(TRIM(cloudSense[[#This Row],[region]]))</f>
        <v>asia-south</v>
      </c>
      <c r="L146" t="str">
        <f>PROPER(TRIM(cloudSense[[#This Row],[resource_status]]))</f>
        <v>Idle</v>
      </c>
      <c r="N146">
        <f>cloudSense[[#This Row],[allocated_cost]]-cloudSense[[#This Row],[actual_used_cost]]</f>
        <v>144</v>
      </c>
      <c r="O146" s="2">
        <f>(cloudSense[[#This Row],[allocated_cost]]-cloudSense[[#This Row],[actual_used_cost]])/cloudSense[[#This Row],[allocated_cost]]*100</f>
        <v>72</v>
      </c>
    </row>
    <row r="147" spans="1:15" x14ac:dyDescent="0.3">
      <c r="A147">
        <v>146</v>
      </c>
      <c r="B147" s="1">
        <v>45730</v>
      </c>
      <c r="C147" t="s">
        <v>12</v>
      </c>
      <c r="D147" t="s">
        <v>13</v>
      </c>
      <c r="E147">
        <v>87</v>
      </c>
      <c r="F147">
        <v>505</v>
      </c>
      <c r="G147">
        <v>700</v>
      </c>
      <c r="H147">
        <v>675</v>
      </c>
      <c r="I147" t="s">
        <v>14</v>
      </c>
      <c r="J147" t="str">
        <f>UPPER(TRIM(cloudSense[[#This Row],[service_name]]))</f>
        <v>S3</v>
      </c>
      <c r="K147" t="str">
        <f>LOWER(TRIM(cloudSense[[#This Row],[region]]))</f>
        <v>us-west</v>
      </c>
      <c r="L147" t="str">
        <f>PROPER(TRIM(cloudSense[[#This Row],[resource_status]]))</f>
        <v>Active</v>
      </c>
      <c r="N147">
        <f>cloudSense[[#This Row],[allocated_cost]]-cloudSense[[#This Row],[actual_used_cost]]</f>
        <v>25</v>
      </c>
      <c r="O147" s="2">
        <f>(cloudSense[[#This Row],[allocated_cost]]-cloudSense[[#This Row],[actual_used_cost]])/cloudSense[[#This Row],[allocated_cost]]*100</f>
        <v>3.5714285714285712</v>
      </c>
    </row>
    <row r="148" spans="1:15" x14ac:dyDescent="0.3">
      <c r="A148">
        <v>147</v>
      </c>
      <c r="B148" s="1">
        <v>45731</v>
      </c>
      <c r="C148" t="s">
        <v>9</v>
      </c>
      <c r="D148" t="s">
        <v>10</v>
      </c>
      <c r="E148">
        <v>42</v>
      </c>
      <c r="F148">
        <v>188</v>
      </c>
      <c r="G148">
        <v>500</v>
      </c>
      <c r="H148">
        <v>355</v>
      </c>
      <c r="I148" t="s">
        <v>14</v>
      </c>
      <c r="J148" t="str">
        <f>UPPER(TRIM(cloudSense[[#This Row],[service_name]]))</f>
        <v>EC2</v>
      </c>
      <c r="K148" t="str">
        <f>LOWER(TRIM(cloudSense[[#This Row],[region]]))</f>
        <v>us-east</v>
      </c>
      <c r="L148" t="str">
        <f>PROPER(TRIM(cloudSense[[#This Row],[resource_status]]))</f>
        <v>Active</v>
      </c>
      <c r="N148">
        <f>cloudSense[[#This Row],[allocated_cost]]-cloudSense[[#This Row],[actual_used_cost]]</f>
        <v>145</v>
      </c>
      <c r="O148" s="2">
        <f>(cloudSense[[#This Row],[allocated_cost]]-cloudSense[[#This Row],[actual_used_cost]])/cloudSense[[#This Row],[allocated_cost]]*100</f>
        <v>28.999999999999996</v>
      </c>
    </row>
    <row r="149" spans="1:15" x14ac:dyDescent="0.3">
      <c r="A149">
        <v>148</v>
      </c>
      <c r="B149" s="1">
        <v>45731</v>
      </c>
      <c r="C149" t="s">
        <v>17</v>
      </c>
      <c r="D149" t="s">
        <v>21</v>
      </c>
      <c r="E149">
        <v>27</v>
      </c>
      <c r="F149">
        <v>238</v>
      </c>
      <c r="G149">
        <v>600</v>
      </c>
      <c r="H149">
        <v>195</v>
      </c>
      <c r="I149" t="s">
        <v>11</v>
      </c>
      <c r="J149" t="str">
        <f>UPPER(TRIM(cloudSense[[#This Row],[service_name]]))</f>
        <v>RDS</v>
      </c>
      <c r="K149" t="str">
        <f>LOWER(TRIM(cloudSense[[#This Row],[region]]))</f>
        <v>eu-central</v>
      </c>
      <c r="L149" t="str">
        <f>PROPER(TRIM(cloudSense[[#This Row],[resource_status]]))</f>
        <v>Idle</v>
      </c>
      <c r="N149">
        <f>cloudSense[[#This Row],[allocated_cost]]-cloudSense[[#This Row],[actual_used_cost]]</f>
        <v>405</v>
      </c>
      <c r="O149" s="2">
        <f>(cloudSense[[#This Row],[allocated_cost]]-cloudSense[[#This Row],[actual_used_cost]])/cloudSense[[#This Row],[allocated_cost]]*100</f>
        <v>67.5</v>
      </c>
    </row>
    <row r="150" spans="1:15" x14ac:dyDescent="0.3">
      <c r="A150">
        <v>149</v>
      </c>
      <c r="B150" s="1">
        <v>45732</v>
      </c>
      <c r="C150" t="s">
        <v>9</v>
      </c>
      <c r="D150" t="s">
        <v>10</v>
      </c>
      <c r="E150">
        <v>93</v>
      </c>
      <c r="F150">
        <v>282</v>
      </c>
      <c r="G150">
        <v>500</v>
      </c>
      <c r="H150">
        <v>488</v>
      </c>
      <c r="I150" t="s">
        <v>14</v>
      </c>
      <c r="J150" t="str">
        <f>UPPER(TRIM(cloudSense[[#This Row],[service_name]]))</f>
        <v>EC2</v>
      </c>
      <c r="K150" t="str">
        <f>LOWER(TRIM(cloudSense[[#This Row],[region]]))</f>
        <v>us-east</v>
      </c>
      <c r="L150" t="str">
        <f>PROPER(TRIM(cloudSense[[#This Row],[resource_status]]))</f>
        <v>Active</v>
      </c>
      <c r="N150">
        <f>cloudSense[[#This Row],[allocated_cost]]-cloudSense[[#This Row],[actual_used_cost]]</f>
        <v>12</v>
      </c>
      <c r="O150" s="2">
        <f>(cloudSense[[#This Row],[allocated_cost]]-cloudSense[[#This Row],[actual_used_cost]])/cloudSense[[#This Row],[allocated_cost]]*100</f>
        <v>2.4</v>
      </c>
    </row>
    <row r="151" spans="1:15" x14ac:dyDescent="0.3">
      <c r="A151">
        <v>150</v>
      </c>
      <c r="B151" s="1">
        <v>45732</v>
      </c>
      <c r="C151" t="s">
        <v>12</v>
      </c>
      <c r="D151" t="s">
        <v>13</v>
      </c>
      <c r="E151">
        <v>60</v>
      </c>
      <c r="F151">
        <v>535</v>
      </c>
      <c r="G151">
        <v>700</v>
      </c>
      <c r="H151">
        <v>455</v>
      </c>
      <c r="I151" t="s">
        <v>14</v>
      </c>
      <c r="J151" t="str">
        <f>UPPER(TRIM(cloudSense[[#This Row],[service_name]]))</f>
        <v>S3</v>
      </c>
      <c r="K151" t="str">
        <f>LOWER(TRIM(cloudSense[[#This Row],[region]]))</f>
        <v>us-west</v>
      </c>
      <c r="L151" t="str">
        <f>PROPER(TRIM(cloudSense[[#This Row],[resource_status]]))</f>
        <v>Active</v>
      </c>
      <c r="N151">
        <f>cloudSense[[#This Row],[allocated_cost]]-cloudSense[[#This Row],[actual_used_cost]]</f>
        <v>245</v>
      </c>
      <c r="O151" s="2">
        <f>(cloudSense[[#This Row],[allocated_cost]]-cloudSense[[#This Row],[actual_used_cost]])/cloudSense[[#This Row],[allocated_cost]]*100</f>
        <v>35</v>
      </c>
    </row>
    <row r="152" spans="1:15" x14ac:dyDescent="0.3">
      <c r="A152">
        <v>151</v>
      </c>
      <c r="B152" s="1">
        <v>45733</v>
      </c>
      <c r="C152" t="s">
        <v>15</v>
      </c>
      <c r="D152" t="s">
        <v>10</v>
      </c>
      <c r="E152">
        <v>15</v>
      </c>
      <c r="F152">
        <v>104</v>
      </c>
      <c r="G152">
        <v>500</v>
      </c>
      <c r="H152">
        <v>125</v>
      </c>
      <c r="I152" t="s">
        <v>11</v>
      </c>
      <c r="J152" t="str">
        <f>UPPER(TRIM(cloudSense[[#This Row],[service_name]]))</f>
        <v>EC2</v>
      </c>
      <c r="K152" t="str">
        <f>LOWER(TRIM(cloudSense[[#This Row],[region]]))</f>
        <v>us-east</v>
      </c>
      <c r="L152" t="str">
        <f>PROPER(TRIM(cloudSense[[#This Row],[resource_status]]))</f>
        <v>Idle</v>
      </c>
      <c r="N152">
        <f>cloudSense[[#This Row],[allocated_cost]]-cloudSense[[#This Row],[actual_used_cost]]</f>
        <v>375</v>
      </c>
      <c r="O152" s="2">
        <f>(cloudSense[[#This Row],[allocated_cost]]-cloudSense[[#This Row],[actual_used_cost]])/cloudSense[[#This Row],[allocated_cost]]*100</f>
        <v>75</v>
      </c>
    </row>
    <row r="153" spans="1:15" x14ac:dyDescent="0.3">
      <c r="A153">
        <v>152</v>
      </c>
      <c r="B153" s="1">
        <v>45733</v>
      </c>
      <c r="C153" t="s">
        <v>17</v>
      </c>
      <c r="D153" t="s">
        <v>20</v>
      </c>
      <c r="E153">
        <v>86</v>
      </c>
      <c r="F153">
        <v>395</v>
      </c>
      <c r="G153">
        <v>600</v>
      </c>
      <c r="H153">
        <v>600</v>
      </c>
      <c r="I153" t="s">
        <v>14</v>
      </c>
      <c r="J153" t="str">
        <f>UPPER(TRIM(cloudSense[[#This Row],[service_name]]))</f>
        <v>RDS</v>
      </c>
      <c r="K153" t="str">
        <f>LOWER(TRIM(cloudSense[[#This Row],[region]]))</f>
        <v>asia-south</v>
      </c>
      <c r="L153" t="str">
        <f>PROPER(TRIM(cloudSense[[#This Row],[resource_status]]))</f>
        <v>Active</v>
      </c>
      <c r="N153">
        <f>cloudSense[[#This Row],[allocated_cost]]-cloudSense[[#This Row],[actual_used_cost]]</f>
        <v>0</v>
      </c>
      <c r="O153" s="2">
        <f>(cloudSense[[#This Row],[allocated_cost]]-cloudSense[[#This Row],[actual_used_cost]])/cloudSense[[#This Row],[allocated_cost]]*100</f>
        <v>0</v>
      </c>
    </row>
    <row r="154" spans="1:15" x14ac:dyDescent="0.3">
      <c r="A154">
        <v>153</v>
      </c>
      <c r="B154" s="1">
        <v>45734</v>
      </c>
      <c r="C154" t="s">
        <v>19</v>
      </c>
      <c r="D154" t="s">
        <v>13</v>
      </c>
      <c r="E154">
        <v>4</v>
      </c>
      <c r="F154">
        <v>18</v>
      </c>
      <c r="G154">
        <v>200</v>
      </c>
      <c r="H154">
        <v>44</v>
      </c>
      <c r="I154" t="s">
        <v>11</v>
      </c>
      <c r="J154" t="str">
        <f>UPPER(TRIM(cloudSense[[#This Row],[service_name]]))</f>
        <v>LAMBDA</v>
      </c>
      <c r="K154" t="str">
        <f>LOWER(TRIM(cloudSense[[#This Row],[region]]))</f>
        <v>us-west</v>
      </c>
      <c r="L154" t="str">
        <f>PROPER(TRIM(cloudSense[[#This Row],[resource_status]]))</f>
        <v>Idle</v>
      </c>
      <c r="N154">
        <f>cloudSense[[#This Row],[allocated_cost]]-cloudSense[[#This Row],[actual_used_cost]]</f>
        <v>156</v>
      </c>
      <c r="O154" s="2">
        <f>(cloudSense[[#This Row],[allocated_cost]]-cloudSense[[#This Row],[actual_used_cost]])/cloudSense[[#This Row],[allocated_cost]]*100</f>
        <v>78</v>
      </c>
    </row>
    <row r="155" spans="1:15" x14ac:dyDescent="0.3">
      <c r="A155">
        <v>154</v>
      </c>
      <c r="B155" s="1">
        <v>45734</v>
      </c>
      <c r="C155" t="s">
        <v>12</v>
      </c>
      <c r="D155" t="s">
        <v>13</v>
      </c>
      <c r="E155">
        <v>96</v>
      </c>
      <c r="F155">
        <v>555</v>
      </c>
      <c r="G155">
        <v>700</v>
      </c>
      <c r="H155">
        <v>699</v>
      </c>
      <c r="I155" t="s">
        <v>14</v>
      </c>
      <c r="J155" t="str">
        <f>UPPER(TRIM(cloudSense[[#This Row],[service_name]]))</f>
        <v>S3</v>
      </c>
      <c r="K155" t="str">
        <f>LOWER(TRIM(cloudSense[[#This Row],[region]]))</f>
        <v>us-west</v>
      </c>
      <c r="L155" t="str">
        <f>PROPER(TRIM(cloudSense[[#This Row],[resource_status]]))</f>
        <v>Active</v>
      </c>
      <c r="N155">
        <f>cloudSense[[#This Row],[allocated_cost]]-cloudSense[[#This Row],[actual_used_cost]]</f>
        <v>1</v>
      </c>
      <c r="O155" s="2">
        <f>(cloudSense[[#This Row],[allocated_cost]]-cloudSense[[#This Row],[actual_used_cost]])/cloudSense[[#This Row],[allocated_cost]]*100</f>
        <v>0.14285714285714285</v>
      </c>
    </row>
    <row r="156" spans="1:15" x14ac:dyDescent="0.3">
      <c r="A156">
        <v>155</v>
      </c>
      <c r="B156" s="1">
        <v>45735</v>
      </c>
      <c r="C156" t="s">
        <v>9</v>
      </c>
      <c r="D156" t="s">
        <v>10</v>
      </c>
      <c r="E156">
        <v>36</v>
      </c>
      <c r="F156">
        <v>172</v>
      </c>
      <c r="G156">
        <v>500</v>
      </c>
      <c r="H156">
        <v>300</v>
      </c>
      <c r="I156" t="s">
        <v>14</v>
      </c>
      <c r="J156" t="str">
        <f>UPPER(TRIM(cloudSense[[#This Row],[service_name]]))</f>
        <v>EC2</v>
      </c>
      <c r="K156" t="str">
        <f>LOWER(TRIM(cloudSense[[#This Row],[region]]))</f>
        <v>us-east</v>
      </c>
      <c r="L156" t="str">
        <f>PROPER(TRIM(cloudSense[[#This Row],[resource_status]]))</f>
        <v>Active</v>
      </c>
      <c r="N156">
        <f>cloudSense[[#This Row],[allocated_cost]]-cloudSense[[#This Row],[actual_used_cost]]</f>
        <v>200</v>
      </c>
      <c r="O156" s="2">
        <f>(cloudSense[[#This Row],[allocated_cost]]-cloudSense[[#This Row],[actual_used_cost]])/cloudSense[[#This Row],[allocated_cost]]*100</f>
        <v>40</v>
      </c>
    </row>
    <row r="157" spans="1:15" x14ac:dyDescent="0.3">
      <c r="A157">
        <v>156</v>
      </c>
      <c r="B157" s="1">
        <v>45735</v>
      </c>
      <c r="C157" t="s">
        <v>17</v>
      </c>
      <c r="D157" t="s">
        <v>18</v>
      </c>
      <c r="F157">
        <v>292</v>
      </c>
      <c r="G157">
        <v>600</v>
      </c>
      <c r="H157">
        <v>408</v>
      </c>
      <c r="I157" t="s">
        <v>11</v>
      </c>
      <c r="J157" t="str">
        <f>UPPER(TRIM(cloudSense[[#This Row],[service_name]]))</f>
        <v>RDS</v>
      </c>
      <c r="K157" t="str">
        <f>LOWER(TRIM(cloudSense[[#This Row],[region]]))</f>
        <v>eu-central</v>
      </c>
      <c r="L157" t="str">
        <f>PROPER(TRIM(cloudSense[[#This Row],[resource_status]]))</f>
        <v>Idle</v>
      </c>
      <c r="N157">
        <f>cloudSense[[#This Row],[allocated_cost]]-cloudSense[[#This Row],[actual_used_cost]]</f>
        <v>192</v>
      </c>
      <c r="O157" s="2">
        <f>(cloudSense[[#This Row],[allocated_cost]]-cloudSense[[#This Row],[actual_used_cost]])/cloudSense[[#This Row],[allocated_cost]]*100</f>
        <v>32</v>
      </c>
    </row>
    <row r="158" spans="1:15" x14ac:dyDescent="0.3">
      <c r="A158">
        <v>157</v>
      </c>
      <c r="B158" s="1">
        <v>45736</v>
      </c>
      <c r="C158" t="s">
        <v>19</v>
      </c>
      <c r="D158" t="s">
        <v>20</v>
      </c>
      <c r="E158">
        <v>7</v>
      </c>
      <c r="F158">
        <v>29</v>
      </c>
      <c r="G158">
        <v>200</v>
      </c>
      <c r="H158">
        <v>60</v>
      </c>
      <c r="I158" t="s">
        <v>11</v>
      </c>
      <c r="J158" t="str">
        <f>UPPER(TRIM(cloudSense[[#This Row],[service_name]]))</f>
        <v>LAMBDA</v>
      </c>
      <c r="K158" t="str">
        <f>LOWER(TRIM(cloudSense[[#This Row],[region]]))</f>
        <v>asia-south</v>
      </c>
      <c r="L158" t="str">
        <f>PROPER(TRIM(cloudSense[[#This Row],[resource_status]]))</f>
        <v>Idle</v>
      </c>
      <c r="N158">
        <f>cloudSense[[#This Row],[allocated_cost]]-cloudSense[[#This Row],[actual_used_cost]]</f>
        <v>140</v>
      </c>
      <c r="O158" s="2">
        <f>(cloudSense[[#This Row],[allocated_cost]]-cloudSense[[#This Row],[actual_used_cost]])/cloudSense[[#This Row],[allocated_cost]]*100</f>
        <v>70</v>
      </c>
    </row>
    <row r="159" spans="1:15" x14ac:dyDescent="0.3">
      <c r="A159">
        <v>158</v>
      </c>
      <c r="B159" s="1">
        <v>45736</v>
      </c>
      <c r="C159" t="s">
        <v>12</v>
      </c>
      <c r="D159" t="s">
        <v>13</v>
      </c>
      <c r="E159">
        <v>99</v>
      </c>
      <c r="F159">
        <v>585</v>
      </c>
      <c r="G159">
        <v>700</v>
      </c>
      <c r="H159">
        <v>700</v>
      </c>
      <c r="I159" t="s">
        <v>14</v>
      </c>
      <c r="J159" t="str">
        <f>UPPER(TRIM(cloudSense[[#This Row],[service_name]]))</f>
        <v>S3</v>
      </c>
      <c r="K159" t="str">
        <f>LOWER(TRIM(cloudSense[[#This Row],[region]]))</f>
        <v>us-west</v>
      </c>
      <c r="L159" t="str">
        <f>PROPER(TRIM(cloudSense[[#This Row],[resource_status]]))</f>
        <v>Active</v>
      </c>
      <c r="N159">
        <f>cloudSense[[#This Row],[allocated_cost]]-cloudSense[[#This Row],[actual_used_cost]]</f>
        <v>0</v>
      </c>
      <c r="O159" s="2">
        <f>(cloudSense[[#This Row],[allocated_cost]]-cloudSense[[#This Row],[actual_used_cost]])/cloudSense[[#This Row],[allocated_cost]]*100</f>
        <v>0</v>
      </c>
    </row>
    <row r="160" spans="1:15" x14ac:dyDescent="0.3">
      <c r="A160">
        <v>159</v>
      </c>
      <c r="B160" s="1">
        <v>45737</v>
      </c>
      <c r="C160" t="s">
        <v>15</v>
      </c>
      <c r="D160" t="s">
        <v>10</v>
      </c>
      <c r="E160">
        <v>21</v>
      </c>
      <c r="F160">
        <v>120</v>
      </c>
      <c r="G160">
        <v>500</v>
      </c>
      <c r="H160">
        <v>195</v>
      </c>
      <c r="I160" t="s">
        <v>16</v>
      </c>
      <c r="J160" t="str">
        <f>UPPER(TRIM(cloudSense[[#This Row],[service_name]]))</f>
        <v>EC2</v>
      </c>
      <c r="K160" t="str">
        <f>LOWER(TRIM(cloudSense[[#This Row],[region]]))</f>
        <v>us-east</v>
      </c>
      <c r="L160" t="str">
        <f>PROPER(TRIM(cloudSense[[#This Row],[resource_status]]))</f>
        <v>Idle</v>
      </c>
      <c r="N160">
        <f>cloudSense[[#This Row],[allocated_cost]]-cloudSense[[#This Row],[actual_used_cost]]</f>
        <v>305</v>
      </c>
      <c r="O160" s="2">
        <f>(cloudSense[[#This Row],[allocated_cost]]-cloudSense[[#This Row],[actual_used_cost]])/cloudSense[[#This Row],[allocated_cost]]*100</f>
        <v>61</v>
      </c>
    </row>
    <row r="161" spans="1:15" x14ac:dyDescent="0.3">
      <c r="A161">
        <v>160</v>
      </c>
      <c r="B161" s="1">
        <v>45737</v>
      </c>
      <c r="C161" t="s">
        <v>17</v>
      </c>
      <c r="D161" t="s">
        <v>21</v>
      </c>
      <c r="E161">
        <v>74</v>
      </c>
      <c r="F161">
        <v>330</v>
      </c>
      <c r="G161">
        <v>600</v>
      </c>
      <c r="H161">
        <v>590</v>
      </c>
      <c r="I161" t="s">
        <v>14</v>
      </c>
      <c r="J161" t="str">
        <f>UPPER(TRIM(cloudSense[[#This Row],[service_name]]))</f>
        <v>RDS</v>
      </c>
      <c r="K161" t="str">
        <f>LOWER(TRIM(cloudSense[[#This Row],[region]]))</f>
        <v>eu-central</v>
      </c>
      <c r="L161" t="str">
        <f>PROPER(TRIM(cloudSense[[#This Row],[resource_status]]))</f>
        <v>Active</v>
      </c>
      <c r="N161">
        <f>cloudSense[[#This Row],[allocated_cost]]-cloudSense[[#This Row],[actual_used_cost]]</f>
        <v>10</v>
      </c>
      <c r="O161" s="2">
        <f>(cloudSense[[#This Row],[allocated_cost]]-cloudSense[[#This Row],[actual_used_cost]])/cloudSense[[#This Row],[allocated_cost]]*100</f>
        <v>1.6666666666666667</v>
      </c>
    </row>
    <row r="162" spans="1:15" x14ac:dyDescent="0.3">
      <c r="A162">
        <v>161</v>
      </c>
      <c r="B162" s="1">
        <v>45738</v>
      </c>
      <c r="C162" t="s">
        <v>9</v>
      </c>
      <c r="D162" t="s">
        <v>10</v>
      </c>
      <c r="E162">
        <v>39</v>
      </c>
      <c r="F162">
        <v>180</v>
      </c>
      <c r="G162">
        <v>500</v>
      </c>
      <c r="H162">
        <v>315</v>
      </c>
      <c r="I162" t="s">
        <v>14</v>
      </c>
      <c r="J162" t="str">
        <f>UPPER(TRIM(cloudSense[[#This Row],[service_name]]))</f>
        <v>EC2</v>
      </c>
      <c r="K162" t="str">
        <f>LOWER(TRIM(cloudSense[[#This Row],[region]]))</f>
        <v>us-east</v>
      </c>
      <c r="L162" t="str">
        <f>PROPER(TRIM(cloudSense[[#This Row],[resource_status]]))</f>
        <v>Active</v>
      </c>
      <c r="N162">
        <f>cloudSense[[#This Row],[allocated_cost]]-cloudSense[[#This Row],[actual_used_cost]]</f>
        <v>185</v>
      </c>
      <c r="O162" s="2">
        <f>(cloudSense[[#This Row],[allocated_cost]]-cloudSense[[#This Row],[actual_used_cost]])/cloudSense[[#This Row],[allocated_cost]]*100</f>
        <v>37</v>
      </c>
    </row>
    <row r="163" spans="1:15" x14ac:dyDescent="0.3">
      <c r="A163">
        <v>162</v>
      </c>
      <c r="B163" s="1">
        <v>45738</v>
      </c>
      <c r="C163" t="s">
        <v>12</v>
      </c>
      <c r="D163" t="s">
        <v>13</v>
      </c>
      <c r="E163">
        <v>79</v>
      </c>
      <c r="F163">
        <v>470</v>
      </c>
      <c r="G163">
        <v>700</v>
      </c>
      <c r="H163">
        <v>660</v>
      </c>
      <c r="I163" t="s">
        <v>14</v>
      </c>
      <c r="J163" t="str">
        <f>UPPER(TRIM(cloudSense[[#This Row],[service_name]]))</f>
        <v>S3</v>
      </c>
      <c r="K163" t="str">
        <f>LOWER(TRIM(cloudSense[[#This Row],[region]]))</f>
        <v>us-west</v>
      </c>
      <c r="L163" t="str">
        <f>PROPER(TRIM(cloudSense[[#This Row],[resource_status]]))</f>
        <v>Active</v>
      </c>
      <c r="N163">
        <f>cloudSense[[#This Row],[allocated_cost]]-cloudSense[[#This Row],[actual_used_cost]]</f>
        <v>40</v>
      </c>
      <c r="O163" s="2">
        <f>(cloudSense[[#This Row],[allocated_cost]]-cloudSense[[#This Row],[actual_used_cost]])/cloudSense[[#This Row],[allocated_cost]]*100</f>
        <v>5.7142857142857144</v>
      </c>
    </row>
    <row r="164" spans="1:15" x14ac:dyDescent="0.3">
      <c r="A164">
        <v>163</v>
      </c>
      <c r="B164" s="1">
        <v>45739</v>
      </c>
      <c r="C164" t="s">
        <v>15</v>
      </c>
      <c r="D164" t="s">
        <v>10</v>
      </c>
      <c r="E164">
        <v>17</v>
      </c>
      <c r="F164">
        <v>110</v>
      </c>
      <c r="G164">
        <v>500</v>
      </c>
      <c r="H164">
        <v>140</v>
      </c>
      <c r="I164" t="s">
        <v>11</v>
      </c>
      <c r="J164" t="str">
        <f>UPPER(TRIM(cloudSense[[#This Row],[service_name]]))</f>
        <v>EC2</v>
      </c>
      <c r="K164" t="str">
        <f>LOWER(TRIM(cloudSense[[#This Row],[region]]))</f>
        <v>us-east</v>
      </c>
      <c r="L164" t="str">
        <f>PROPER(TRIM(cloudSense[[#This Row],[resource_status]]))</f>
        <v>Idle</v>
      </c>
      <c r="N164">
        <f>cloudSense[[#This Row],[allocated_cost]]-cloudSense[[#This Row],[actual_used_cost]]</f>
        <v>360</v>
      </c>
      <c r="O164" s="2">
        <f>(cloudSense[[#This Row],[allocated_cost]]-cloudSense[[#This Row],[actual_used_cost]])/cloudSense[[#This Row],[allocated_cost]]*100</f>
        <v>72</v>
      </c>
    </row>
    <row r="165" spans="1:15" x14ac:dyDescent="0.3">
      <c r="A165">
        <v>164</v>
      </c>
      <c r="B165" s="1">
        <v>45739</v>
      </c>
      <c r="C165" t="s">
        <v>17</v>
      </c>
      <c r="D165" t="s">
        <v>18</v>
      </c>
      <c r="E165">
        <v>64</v>
      </c>
      <c r="F165">
        <v>315</v>
      </c>
      <c r="G165">
        <v>600</v>
      </c>
      <c r="H165">
        <v>530</v>
      </c>
      <c r="I165" t="s">
        <v>14</v>
      </c>
      <c r="J165" t="str">
        <f>UPPER(TRIM(cloudSense[[#This Row],[service_name]]))</f>
        <v>RDS</v>
      </c>
      <c r="K165" t="str">
        <f>LOWER(TRIM(cloudSense[[#This Row],[region]]))</f>
        <v>eu-central</v>
      </c>
      <c r="L165" t="str">
        <f>PROPER(TRIM(cloudSense[[#This Row],[resource_status]]))</f>
        <v>Active</v>
      </c>
      <c r="N165">
        <f>cloudSense[[#This Row],[allocated_cost]]-cloudSense[[#This Row],[actual_used_cost]]</f>
        <v>70</v>
      </c>
      <c r="O165" s="2">
        <f>(cloudSense[[#This Row],[allocated_cost]]-cloudSense[[#This Row],[actual_used_cost]])/cloudSense[[#This Row],[allocated_cost]]*100</f>
        <v>11.666666666666666</v>
      </c>
    </row>
    <row r="166" spans="1:15" x14ac:dyDescent="0.3">
      <c r="A166">
        <v>165</v>
      </c>
      <c r="B166" s="1">
        <v>45740</v>
      </c>
      <c r="C166" t="s">
        <v>19</v>
      </c>
      <c r="D166" t="s">
        <v>20</v>
      </c>
      <c r="E166">
        <v>5</v>
      </c>
      <c r="F166">
        <v>27</v>
      </c>
      <c r="G166">
        <v>200</v>
      </c>
      <c r="H166">
        <v>57</v>
      </c>
      <c r="I166" t="s">
        <v>11</v>
      </c>
      <c r="J166" t="str">
        <f>UPPER(TRIM(cloudSense[[#This Row],[service_name]]))</f>
        <v>LAMBDA</v>
      </c>
      <c r="K166" t="str">
        <f>LOWER(TRIM(cloudSense[[#This Row],[region]]))</f>
        <v>asia-south</v>
      </c>
      <c r="L166" t="str">
        <f>PROPER(TRIM(cloudSense[[#This Row],[resource_status]]))</f>
        <v>Idle</v>
      </c>
      <c r="N166">
        <f>cloudSense[[#This Row],[allocated_cost]]-cloudSense[[#This Row],[actual_used_cost]]</f>
        <v>143</v>
      </c>
      <c r="O166" s="2">
        <f>(cloudSense[[#This Row],[allocated_cost]]-cloudSense[[#This Row],[actual_used_cost]])/cloudSense[[#This Row],[allocated_cost]]*100</f>
        <v>71.5</v>
      </c>
    </row>
    <row r="167" spans="1:15" x14ac:dyDescent="0.3">
      <c r="A167">
        <v>166</v>
      </c>
      <c r="B167" s="1">
        <v>45740</v>
      </c>
      <c r="C167" t="s">
        <v>12</v>
      </c>
      <c r="D167" t="s">
        <v>13</v>
      </c>
      <c r="E167">
        <v>88</v>
      </c>
      <c r="F167">
        <v>510</v>
      </c>
      <c r="G167">
        <v>700</v>
      </c>
      <c r="H167">
        <v>680</v>
      </c>
      <c r="I167" t="s">
        <v>14</v>
      </c>
      <c r="J167" t="str">
        <f>UPPER(TRIM(cloudSense[[#This Row],[service_name]]))</f>
        <v>S3</v>
      </c>
      <c r="K167" t="str">
        <f>LOWER(TRIM(cloudSense[[#This Row],[region]]))</f>
        <v>us-west</v>
      </c>
      <c r="L167" t="str">
        <f>PROPER(TRIM(cloudSense[[#This Row],[resource_status]]))</f>
        <v>Active</v>
      </c>
      <c r="N167">
        <f>cloudSense[[#This Row],[allocated_cost]]-cloudSense[[#This Row],[actual_used_cost]]</f>
        <v>20</v>
      </c>
      <c r="O167" s="2">
        <f>(cloudSense[[#This Row],[allocated_cost]]-cloudSense[[#This Row],[actual_used_cost]])/cloudSense[[#This Row],[allocated_cost]]*100</f>
        <v>2.8571428571428572</v>
      </c>
    </row>
    <row r="168" spans="1:15" x14ac:dyDescent="0.3">
      <c r="A168">
        <v>167</v>
      </c>
      <c r="B168" s="1">
        <v>45741</v>
      </c>
      <c r="C168" t="s">
        <v>9</v>
      </c>
      <c r="D168" t="s">
        <v>10</v>
      </c>
      <c r="E168">
        <v>43</v>
      </c>
      <c r="F168">
        <v>190</v>
      </c>
      <c r="G168">
        <v>500</v>
      </c>
      <c r="H168">
        <v>360</v>
      </c>
      <c r="I168" t="s">
        <v>14</v>
      </c>
      <c r="J168" t="str">
        <f>UPPER(TRIM(cloudSense[[#This Row],[service_name]]))</f>
        <v>EC2</v>
      </c>
      <c r="K168" t="str">
        <f>LOWER(TRIM(cloudSense[[#This Row],[region]]))</f>
        <v>us-east</v>
      </c>
      <c r="L168" t="str">
        <f>PROPER(TRIM(cloudSense[[#This Row],[resource_status]]))</f>
        <v>Active</v>
      </c>
      <c r="N168">
        <f>cloudSense[[#This Row],[allocated_cost]]-cloudSense[[#This Row],[actual_used_cost]]</f>
        <v>140</v>
      </c>
      <c r="O168" s="2">
        <f>(cloudSense[[#This Row],[allocated_cost]]-cloudSense[[#This Row],[actual_used_cost]])/cloudSense[[#This Row],[allocated_cost]]*100</f>
        <v>28.000000000000004</v>
      </c>
    </row>
    <row r="169" spans="1:15" x14ac:dyDescent="0.3">
      <c r="A169">
        <v>168</v>
      </c>
      <c r="B169" s="1">
        <v>45741</v>
      </c>
      <c r="C169" t="s">
        <v>17</v>
      </c>
      <c r="D169" t="s">
        <v>21</v>
      </c>
      <c r="E169">
        <v>28</v>
      </c>
      <c r="F169">
        <v>240</v>
      </c>
      <c r="G169">
        <v>600</v>
      </c>
      <c r="H169">
        <v>200</v>
      </c>
      <c r="I169" t="s">
        <v>11</v>
      </c>
      <c r="J169" t="str">
        <f>UPPER(TRIM(cloudSense[[#This Row],[service_name]]))</f>
        <v>RDS</v>
      </c>
      <c r="K169" t="str">
        <f>LOWER(TRIM(cloudSense[[#This Row],[region]]))</f>
        <v>eu-central</v>
      </c>
      <c r="L169" t="str">
        <f>PROPER(TRIM(cloudSense[[#This Row],[resource_status]]))</f>
        <v>Idle</v>
      </c>
      <c r="N169">
        <f>cloudSense[[#This Row],[allocated_cost]]-cloudSense[[#This Row],[actual_used_cost]]</f>
        <v>400</v>
      </c>
      <c r="O169" s="2">
        <f>(cloudSense[[#This Row],[allocated_cost]]-cloudSense[[#This Row],[actual_used_cost]])/cloudSense[[#This Row],[allocated_cost]]*100</f>
        <v>66.666666666666657</v>
      </c>
    </row>
    <row r="170" spans="1:15" x14ac:dyDescent="0.3">
      <c r="A170">
        <v>169</v>
      </c>
      <c r="B170" s="1">
        <v>45742</v>
      </c>
      <c r="C170" t="s">
        <v>9</v>
      </c>
      <c r="D170" t="s">
        <v>10</v>
      </c>
      <c r="E170">
        <v>94</v>
      </c>
      <c r="F170">
        <v>285</v>
      </c>
      <c r="G170">
        <v>500</v>
      </c>
      <c r="H170">
        <v>490</v>
      </c>
      <c r="I170" t="s">
        <v>14</v>
      </c>
      <c r="J170" t="str">
        <f>UPPER(TRIM(cloudSense[[#This Row],[service_name]]))</f>
        <v>EC2</v>
      </c>
      <c r="K170" t="str">
        <f>LOWER(TRIM(cloudSense[[#This Row],[region]]))</f>
        <v>us-east</v>
      </c>
      <c r="L170" t="str">
        <f>PROPER(TRIM(cloudSense[[#This Row],[resource_status]]))</f>
        <v>Active</v>
      </c>
      <c r="N170">
        <f>cloudSense[[#This Row],[allocated_cost]]-cloudSense[[#This Row],[actual_used_cost]]</f>
        <v>10</v>
      </c>
      <c r="O170" s="2">
        <f>(cloudSense[[#This Row],[allocated_cost]]-cloudSense[[#This Row],[actual_used_cost]])/cloudSense[[#This Row],[allocated_cost]]*100</f>
        <v>2</v>
      </c>
    </row>
    <row r="171" spans="1:15" x14ac:dyDescent="0.3">
      <c r="A171">
        <v>170</v>
      </c>
      <c r="B171" s="1">
        <v>45742</v>
      </c>
      <c r="C171" t="s">
        <v>12</v>
      </c>
      <c r="D171" t="s">
        <v>13</v>
      </c>
      <c r="E171">
        <v>61</v>
      </c>
      <c r="F171">
        <v>540</v>
      </c>
      <c r="G171">
        <v>700</v>
      </c>
      <c r="H171">
        <v>460</v>
      </c>
      <c r="I171" t="s">
        <v>14</v>
      </c>
      <c r="J171" t="str">
        <f>UPPER(TRIM(cloudSense[[#This Row],[service_name]]))</f>
        <v>S3</v>
      </c>
      <c r="K171" t="str">
        <f>LOWER(TRIM(cloudSense[[#This Row],[region]]))</f>
        <v>us-west</v>
      </c>
      <c r="L171" t="str">
        <f>PROPER(TRIM(cloudSense[[#This Row],[resource_status]]))</f>
        <v>Active</v>
      </c>
      <c r="N171">
        <f>cloudSense[[#This Row],[allocated_cost]]-cloudSense[[#This Row],[actual_used_cost]]</f>
        <v>240</v>
      </c>
      <c r="O171" s="2">
        <f>(cloudSense[[#This Row],[allocated_cost]]-cloudSense[[#This Row],[actual_used_cost]])/cloudSense[[#This Row],[allocated_cost]]*100</f>
        <v>34.285714285714285</v>
      </c>
    </row>
    <row r="172" spans="1:15" x14ac:dyDescent="0.3">
      <c r="A172">
        <v>171</v>
      </c>
      <c r="B172" s="1">
        <v>45743</v>
      </c>
      <c r="C172" t="s">
        <v>15</v>
      </c>
      <c r="D172" t="s">
        <v>10</v>
      </c>
      <c r="E172">
        <v>16</v>
      </c>
      <c r="F172">
        <v>106</v>
      </c>
      <c r="G172">
        <v>500</v>
      </c>
      <c r="H172">
        <v>130</v>
      </c>
      <c r="I172" t="s">
        <v>11</v>
      </c>
      <c r="J172" t="str">
        <f>UPPER(TRIM(cloudSense[[#This Row],[service_name]]))</f>
        <v>EC2</v>
      </c>
      <c r="K172" t="str">
        <f>LOWER(TRIM(cloudSense[[#This Row],[region]]))</f>
        <v>us-east</v>
      </c>
      <c r="L172" t="str">
        <f>PROPER(TRIM(cloudSense[[#This Row],[resource_status]]))</f>
        <v>Idle</v>
      </c>
      <c r="N172">
        <f>cloudSense[[#This Row],[allocated_cost]]-cloudSense[[#This Row],[actual_used_cost]]</f>
        <v>370</v>
      </c>
      <c r="O172" s="2">
        <f>(cloudSense[[#This Row],[allocated_cost]]-cloudSense[[#This Row],[actual_used_cost]])/cloudSense[[#This Row],[allocated_cost]]*100</f>
        <v>74</v>
      </c>
    </row>
    <row r="173" spans="1:15" x14ac:dyDescent="0.3">
      <c r="A173">
        <v>172</v>
      </c>
      <c r="B173" s="1">
        <v>45743</v>
      </c>
      <c r="C173" t="s">
        <v>17</v>
      </c>
      <c r="D173" t="s">
        <v>20</v>
      </c>
      <c r="E173">
        <v>87</v>
      </c>
      <c r="F173">
        <v>398</v>
      </c>
      <c r="G173">
        <v>600</v>
      </c>
      <c r="H173">
        <v>600</v>
      </c>
      <c r="I173" t="s">
        <v>14</v>
      </c>
      <c r="J173" t="str">
        <f>UPPER(TRIM(cloudSense[[#This Row],[service_name]]))</f>
        <v>RDS</v>
      </c>
      <c r="K173" t="str">
        <f>LOWER(TRIM(cloudSense[[#This Row],[region]]))</f>
        <v>asia-south</v>
      </c>
      <c r="L173" t="str">
        <f>PROPER(TRIM(cloudSense[[#This Row],[resource_status]]))</f>
        <v>Active</v>
      </c>
      <c r="N173">
        <f>cloudSense[[#This Row],[allocated_cost]]-cloudSense[[#This Row],[actual_used_cost]]</f>
        <v>0</v>
      </c>
      <c r="O173" s="2">
        <f>(cloudSense[[#This Row],[allocated_cost]]-cloudSense[[#This Row],[actual_used_cost]])/cloudSense[[#This Row],[allocated_cost]]*100</f>
        <v>0</v>
      </c>
    </row>
    <row r="174" spans="1:15" x14ac:dyDescent="0.3">
      <c r="A174">
        <v>173</v>
      </c>
      <c r="B174" s="1">
        <v>45744</v>
      </c>
      <c r="C174" t="s">
        <v>19</v>
      </c>
      <c r="D174" t="s">
        <v>13</v>
      </c>
      <c r="E174">
        <v>3</v>
      </c>
      <c r="F174">
        <v>19</v>
      </c>
      <c r="G174">
        <v>200</v>
      </c>
      <c r="H174">
        <v>45</v>
      </c>
      <c r="I174" t="s">
        <v>11</v>
      </c>
      <c r="J174" t="str">
        <f>UPPER(TRIM(cloudSense[[#This Row],[service_name]]))</f>
        <v>LAMBDA</v>
      </c>
      <c r="K174" t="str">
        <f>LOWER(TRIM(cloudSense[[#This Row],[region]]))</f>
        <v>us-west</v>
      </c>
      <c r="L174" t="str">
        <f>PROPER(TRIM(cloudSense[[#This Row],[resource_status]]))</f>
        <v>Idle</v>
      </c>
      <c r="N174">
        <f>cloudSense[[#This Row],[allocated_cost]]-cloudSense[[#This Row],[actual_used_cost]]</f>
        <v>155</v>
      </c>
      <c r="O174" s="2">
        <f>(cloudSense[[#This Row],[allocated_cost]]-cloudSense[[#This Row],[actual_used_cost]])/cloudSense[[#This Row],[allocated_cost]]*100</f>
        <v>77.5</v>
      </c>
    </row>
    <row r="175" spans="1:15" x14ac:dyDescent="0.3">
      <c r="A175">
        <v>174</v>
      </c>
      <c r="B175" s="1">
        <v>45744</v>
      </c>
      <c r="C175" t="s">
        <v>12</v>
      </c>
      <c r="D175" t="s">
        <v>13</v>
      </c>
      <c r="E175">
        <v>97</v>
      </c>
      <c r="F175">
        <v>560</v>
      </c>
      <c r="G175">
        <v>700</v>
      </c>
      <c r="H175">
        <v>699</v>
      </c>
      <c r="I175" t="s">
        <v>14</v>
      </c>
      <c r="J175" t="str">
        <f>UPPER(TRIM(cloudSense[[#This Row],[service_name]]))</f>
        <v>S3</v>
      </c>
      <c r="K175" t="str">
        <f>LOWER(TRIM(cloudSense[[#This Row],[region]]))</f>
        <v>us-west</v>
      </c>
      <c r="L175" t="str">
        <f>PROPER(TRIM(cloudSense[[#This Row],[resource_status]]))</f>
        <v>Active</v>
      </c>
      <c r="N175">
        <f>cloudSense[[#This Row],[allocated_cost]]-cloudSense[[#This Row],[actual_used_cost]]</f>
        <v>1</v>
      </c>
      <c r="O175" s="2">
        <f>(cloudSense[[#This Row],[allocated_cost]]-cloudSense[[#This Row],[actual_used_cost]])/cloudSense[[#This Row],[allocated_cost]]*100</f>
        <v>0.14285714285714285</v>
      </c>
    </row>
    <row r="176" spans="1:15" x14ac:dyDescent="0.3">
      <c r="A176">
        <v>175</v>
      </c>
      <c r="B176" s="1">
        <v>45745</v>
      </c>
      <c r="C176" t="s">
        <v>9</v>
      </c>
      <c r="D176" t="s">
        <v>10</v>
      </c>
      <c r="E176">
        <v>37</v>
      </c>
      <c r="F176">
        <v>175</v>
      </c>
      <c r="G176">
        <v>500</v>
      </c>
      <c r="H176">
        <v>305</v>
      </c>
      <c r="I176" t="s">
        <v>14</v>
      </c>
      <c r="J176" t="str">
        <f>UPPER(TRIM(cloudSense[[#This Row],[service_name]]))</f>
        <v>EC2</v>
      </c>
      <c r="K176" t="str">
        <f>LOWER(TRIM(cloudSense[[#This Row],[region]]))</f>
        <v>us-east</v>
      </c>
      <c r="L176" t="str">
        <f>PROPER(TRIM(cloudSense[[#This Row],[resource_status]]))</f>
        <v>Active</v>
      </c>
      <c r="N176">
        <f>cloudSense[[#This Row],[allocated_cost]]-cloudSense[[#This Row],[actual_used_cost]]</f>
        <v>195</v>
      </c>
      <c r="O176" s="2">
        <f>(cloudSense[[#This Row],[allocated_cost]]-cloudSense[[#This Row],[actual_used_cost]])/cloudSense[[#This Row],[allocated_cost]]*100</f>
        <v>39</v>
      </c>
    </row>
    <row r="177" spans="1:15" x14ac:dyDescent="0.3">
      <c r="A177">
        <v>176</v>
      </c>
      <c r="B177" s="1">
        <v>45745</v>
      </c>
      <c r="C177" t="s">
        <v>17</v>
      </c>
      <c r="D177" t="s">
        <v>18</v>
      </c>
      <c r="F177">
        <v>295</v>
      </c>
      <c r="G177">
        <v>600</v>
      </c>
      <c r="H177">
        <v>410</v>
      </c>
      <c r="I177" t="s">
        <v>11</v>
      </c>
      <c r="J177" t="str">
        <f>UPPER(TRIM(cloudSense[[#This Row],[service_name]]))</f>
        <v>RDS</v>
      </c>
      <c r="K177" t="str">
        <f>LOWER(TRIM(cloudSense[[#This Row],[region]]))</f>
        <v>eu-central</v>
      </c>
      <c r="L177" t="str">
        <f>PROPER(TRIM(cloudSense[[#This Row],[resource_status]]))</f>
        <v>Idle</v>
      </c>
      <c r="N177">
        <f>cloudSense[[#This Row],[allocated_cost]]-cloudSense[[#This Row],[actual_used_cost]]</f>
        <v>190</v>
      </c>
      <c r="O177" s="2">
        <f>(cloudSense[[#This Row],[allocated_cost]]-cloudSense[[#This Row],[actual_used_cost]])/cloudSense[[#This Row],[allocated_cost]]*100</f>
        <v>31.666666666666664</v>
      </c>
    </row>
    <row r="178" spans="1:15" x14ac:dyDescent="0.3">
      <c r="A178">
        <v>177</v>
      </c>
      <c r="B178" s="1">
        <v>45746</v>
      </c>
      <c r="C178" t="s">
        <v>19</v>
      </c>
      <c r="D178" t="s">
        <v>20</v>
      </c>
      <c r="E178">
        <v>6</v>
      </c>
      <c r="F178">
        <v>30</v>
      </c>
      <c r="G178">
        <v>200</v>
      </c>
      <c r="H178">
        <v>60</v>
      </c>
      <c r="I178" t="s">
        <v>11</v>
      </c>
      <c r="J178" t="str">
        <f>UPPER(TRIM(cloudSense[[#This Row],[service_name]]))</f>
        <v>LAMBDA</v>
      </c>
      <c r="K178" t="str">
        <f>LOWER(TRIM(cloudSense[[#This Row],[region]]))</f>
        <v>asia-south</v>
      </c>
      <c r="L178" t="str">
        <f>PROPER(TRIM(cloudSense[[#This Row],[resource_status]]))</f>
        <v>Idle</v>
      </c>
      <c r="N178">
        <f>cloudSense[[#This Row],[allocated_cost]]-cloudSense[[#This Row],[actual_used_cost]]</f>
        <v>140</v>
      </c>
      <c r="O178" s="2">
        <f>(cloudSense[[#This Row],[allocated_cost]]-cloudSense[[#This Row],[actual_used_cost]])/cloudSense[[#This Row],[allocated_cost]]*100</f>
        <v>70</v>
      </c>
    </row>
    <row r="179" spans="1:15" x14ac:dyDescent="0.3">
      <c r="A179">
        <v>178</v>
      </c>
      <c r="B179" s="1">
        <v>45746</v>
      </c>
      <c r="C179" t="s">
        <v>12</v>
      </c>
      <c r="D179" t="s">
        <v>13</v>
      </c>
      <c r="E179">
        <v>100</v>
      </c>
      <c r="F179">
        <v>590</v>
      </c>
      <c r="G179">
        <v>700</v>
      </c>
      <c r="H179">
        <v>700</v>
      </c>
      <c r="I179" t="s">
        <v>14</v>
      </c>
      <c r="J179" t="str">
        <f>UPPER(TRIM(cloudSense[[#This Row],[service_name]]))</f>
        <v>S3</v>
      </c>
      <c r="K179" t="str">
        <f>LOWER(TRIM(cloudSense[[#This Row],[region]]))</f>
        <v>us-west</v>
      </c>
      <c r="L179" t="str">
        <f>PROPER(TRIM(cloudSense[[#This Row],[resource_status]]))</f>
        <v>Active</v>
      </c>
      <c r="N179">
        <f>cloudSense[[#This Row],[allocated_cost]]-cloudSense[[#This Row],[actual_used_cost]]</f>
        <v>0</v>
      </c>
      <c r="O179" s="2">
        <f>(cloudSense[[#This Row],[allocated_cost]]-cloudSense[[#This Row],[actual_used_cost]])/cloudSense[[#This Row],[allocated_cost]]*100</f>
        <v>0</v>
      </c>
    </row>
    <row r="180" spans="1:15" x14ac:dyDescent="0.3">
      <c r="A180">
        <v>179</v>
      </c>
      <c r="B180" s="1">
        <v>45747</v>
      </c>
      <c r="C180" t="s">
        <v>15</v>
      </c>
      <c r="D180" t="s">
        <v>10</v>
      </c>
      <c r="E180">
        <v>22</v>
      </c>
      <c r="F180">
        <v>122</v>
      </c>
      <c r="G180">
        <v>500</v>
      </c>
      <c r="H180">
        <v>200</v>
      </c>
      <c r="I180" t="s">
        <v>16</v>
      </c>
      <c r="J180" t="str">
        <f>UPPER(TRIM(cloudSense[[#This Row],[service_name]]))</f>
        <v>EC2</v>
      </c>
      <c r="K180" t="str">
        <f>LOWER(TRIM(cloudSense[[#This Row],[region]]))</f>
        <v>us-east</v>
      </c>
      <c r="L180" t="str">
        <f>PROPER(TRIM(cloudSense[[#This Row],[resource_status]]))</f>
        <v>Idle</v>
      </c>
      <c r="N180">
        <f>cloudSense[[#This Row],[allocated_cost]]-cloudSense[[#This Row],[actual_used_cost]]</f>
        <v>300</v>
      </c>
      <c r="O180" s="2">
        <f>(cloudSense[[#This Row],[allocated_cost]]-cloudSense[[#This Row],[actual_used_cost]])/cloudSense[[#This Row],[allocated_cost]]*100</f>
        <v>60</v>
      </c>
    </row>
    <row r="181" spans="1:15" x14ac:dyDescent="0.3">
      <c r="A181">
        <v>180</v>
      </c>
      <c r="B181" s="1">
        <v>45747</v>
      </c>
      <c r="C181" t="s">
        <v>17</v>
      </c>
      <c r="D181" t="s">
        <v>21</v>
      </c>
      <c r="E181">
        <v>76</v>
      </c>
      <c r="F181">
        <v>332</v>
      </c>
      <c r="G181">
        <v>600</v>
      </c>
      <c r="H181">
        <v>592</v>
      </c>
      <c r="I181" t="s">
        <v>14</v>
      </c>
      <c r="J181" t="str">
        <f>UPPER(TRIM(cloudSense[[#This Row],[service_name]]))</f>
        <v>RDS</v>
      </c>
      <c r="K181" t="str">
        <f>LOWER(TRIM(cloudSense[[#This Row],[region]]))</f>
        <v>eu-central</v>
      </c>
      <c r="L181" t="str">
        <f>PROPER(TRIM(cloudSense[[#This Row],[resource_status]]))</f>
        <v>Active</v>
      </c>
      <c r="N181">
        <f>cloudSense[[#This Row],[allocated_cost]]-cloudSense[[#This Row],[actual_used_cost]]</f>
        <v>8</v>
      </c>
      <c r="O181" s="2">
        <f>(cloudSense[[#This Row],[allocated_cost]]-cloudSense[[#This Row],[actual_used_cost]])/cloudSense[[#This Row],[allocated_cost]]*100</f>
        <v>1.3333333333333335</v>
      </c>
    </row>
    <row r="182" spans="1:15" x14ac:dyDescent="0.3">
      <c r="A182">
        <v>181</v>
      </c>
      <c r="B182" s="1">
        <v>45748</v>
      </c>
      <c r="C182" t="s">
        <v>9</v>
      </c>
      <c r="D182" t="s">
        <v>10</v>
      </c>
      <c r="E182">
        <v>40</v>
      </c>
      <c r="F182">
        <v>182</v>
      </c>
      <c r="G182">
        <v>500</v>
      </c>
      <c r="H182">
        <v>320</v>
      </c>
      <c r="I182" t="s">
        <v>14</v>
      </c>
      <c r="J182" t="str">
        <f>UPPER(TRIM(cloudSense[[#This Row],[service_name]]))</f>
        <v>EC2</v>
      </c>
      <c r="K182" t="str">
        <f>LOWER(TRIM(cloudSense[[#This Row],[region]]))</f>
        <v>us-east</v>
      </c>
      <c r="L182" t="str">
        <f>PROPER(TRIM(cloudSense[[#This Row],[resource_status]]))</f>
        <v>Active</v>
      </c>
      <c r="N182">
        <f>cloudSense[[#This Row],[allocated_cost]]-cloudSense[[#This Row],[actual_used_cost]]</f>
        <v>180</v>
      </c>
      <c r="O182" s="2">
        <f>(cloudSense[[#This Row],[allocated_cost]]-cloudSense[[#This Row],[actual_used_cost]])/cloudSense[[#This Row],[allocated_cost]]*100</f>
        <v>36</v>
      </c>
    </row>
    <row r="183" spans="1:15" x14ac:dyDescent="0.3">
      <c r="A183">
        <v>182</v>
      </c>
      <c r="B183" s="1">
        <v>45748</v>
      </c>
      <c r="C183" t="s">
        <v>12</v>
      </c>
      <c r="D183" t="s">
        <v>13</v>
      </c>
      <c r="E183">
        <v>80</v>
      </c>
      <c r="F183">
        <v>475</v>
      </c>
      <c r="G183">
        <v>700</v>
      </c>
      <c r="H183">
        <v>665</v>
      </c>
      <c r="I183" t="s">
        <v>14</v>
      </c>
      <c r="J183" t="str">
        <f>UPPER(TRIM(cloudSense[[#This Row],[service_name]]))</f>
        <v>S3</v>
      </c>
      <c r="K183" t="str">
        <f>LOWER(TRIM(cloudSense[[#This Row],[region]]))</f>
        <v>us-west</v>
      </c>
      <c r="L183" t="str">
        <f>PROPER(TRIM(cloudSense[[#This Row],[resource_status]]))</f>
        <v>Active</v>
      </c>
      <c r="N183">
        <f>cloudSense[[#This Row],[allocated_cost]]-cloudSense[[#This Row],[actual_used_cost]]</f>
        <v>35</v>
      </c>
      <c r="O183" s="2">
        <f>(cloudSense[[#This Row],[allocated_cost]]-cloudSense[[#This Row],[actual_used_cost]])/cloudSense[[#This Row],[allocated_cost]]*100</f>
        <v>5</v>
      </c>
    </row>
    <row r="184" spans="1:15" x14ac:dyDescent="0.3">
      <c r="A184">
        <v>183</v>
      </c>
      <c r="B184" s="1">
        <v>45749</v>
      </c>
      <c r="C184" t="s">
        <v>15</v>
      </c>
      <c r="D184" t="s">
        <v>10</v>
      </c>
      <c r="E184">
        <v>18</v>
      </c>
      <c r="F184">
        <v>112</v>
      </c>
      <c r="G184">
        <v>500</v>
      </c>
      <c r="H184">
        <v>145</v>
      </c>
      <c r="I184" t="s">
        <v>11</v>
      </c>
      <c r="J184" t="str">
        <f>UPPER(TRIM(cloudSense[[#This Row],[service_name]]))</f>
        <v>EC2</v>
      </c>
      <c r="K184" t="str">
        <f>LOWER(TRIM(cloudSense[[#This Row],[region]]))</f>
        <v>us-east</v>
      </c>
      <c r="L184" t="str">
        <f>PROPER(TRIM(cloudSense[[#This Row],[resource_status]]))</f>
        <v>Idle</v>
      </c>
      <c r="N184">
        <f>cloudSense[[#This Row],[allocated_cost]]-cloudSense[[#This Row],[actual_used_cost]]</f>
        <v>355</v>
      </c>
      <c r="O184" s="2">
        <f>(cloudSense[[#This Row],[allocated_cost]]-cloudSense[[#This Row],[actual_used_cost]])/cloudSense[[#This Row],[allocated_cost]]*100</f>
        <v>71</v>
      </c>
    </row>
    <row r="185" spans="1:15" x14ac:dyDescent="0.3">
      <c r="A185">
        <v>184</v>
      </c>
      <c r="B185" s="1">
        <v>45749</v>
      </c>
      <c r="C185" t="s">
        <v>17</v>
      </c>
      <c r="D185" t="s">
        <v>18</v>
      </c>
      <c r="E185">
        <v>65</v>
      </c>
      <c r="F185">
        <v>318</v>
      </c>
      <c r="G185">
        <v>600</v>
      </c>
      <c r="H185">
        <v>535</v>
      </c>
      <c r="I185" t="s">
        <v>14</v>
      </c>
      <c r="J185" t="str">
        <f>UPPER(TRIM(cloudSense[[#This Row],[service_name]]))</f>
        <v>RDS</v>
      </c>
      <c r="K185" t="str">
        <f>LOWER(TRIM(cloudSense[[#This Row],[region]]))</f>
        <v>eu-central</v>
      </c>
      <c r="L185" t="str">
        <f>PROPER(TRIM(cloudSense[[#This Row],[resource_status]]))</f>
        <v>Active</v>
      </c>
      <c r="N185">
        <f>cloudSense[[#This Row],[allocated_cost]]-cloudSense[[#This Row],[actual_used_cost]]</f>
        <v>65</v>
      </c>
      <c r="O185" s="2">
        <f>(cloudSense[[#This Row],[allocated_cost]]-cloudSense[[#This Row],[actual_used_cost]])/cloudSense[[#This Row],[allocated_cost]]*100</f>
        <v>10.833333333333334</v>
      </c>
    </row>
    <row r="186" spans="1:15" x14ac:dyDescent="0.3">
      <c r="A186">
        <v>185</v>
      </c>
      <c r="B186" s="1">
        <v>45750</v>
      </c>
      <c r="C186" t="s">
        <v>19</v>
      </c>
      <c r="D186" t="s">
        <v>20</v>
      </c>
      <c r="E186">
        <v>5</v>
      </c>
      <c r="F186">
        <v>28</v>
      </c>
      <c r="G186">
        <v>200</v>
      </c>
      <c r="H186">
        <v>58</v>
      </c>
      <c r="I186" t="s">
        <v>11</v>
      </c>
      <c r="J186" t="str">
        <f>UPPER(TRIM(cloudSense[[#This Row],[service_name]]))</f>
        <v>LAMBDA</v>
      </c>
      <c r="K186" t="str">
        <f>LOWER(TRIM(cloudSense[[#This Row],[region]]))</f>
        <v>asia-south</v>
      </c>
      <c r="L186" t="str">
        <f>PROPER(TRIM(cloudSense[[#This Row],[resource_status]]))</f>
        <v>Idle</v>
      </c>
      <c r="N186">
        <f>cloudSense[[#This Row],[allocated_cost]]-cloudSense[[#This Row],[actual_used_cost]]</f>
        <v>142</v>
      </c>
      <c r="O186" s="2">
        <f>(cloudSense[[#This Row],[allocated_cost]]-cloudSense[[#This Row],[actual_used_cost]])/cloudSense[[#This Row],[allocated_cost]]*100</f>
        <v>71</v>
      </c>
    </row>
    <row r="187" spans="1:15" x14ac:dyDescent="0.3">
      <c r="A187">
        <v>186</v>
      </c>
      <c r="B187" s="1">
        <v>45750</v>
      </c>
      <c r="C187" t="s">
        <v>12</v>
      </c>
      <c r="D187" t="s">
        <v>13</v>
      </c>
      <c r="E187">
        <v>89</v>
      </c>
      <c r="F187">
        <v>515</v>
      </c>
      <c r="G187">
        <v>700</v>
      </c>
      <c r="H187">
        <v>685</v>
      </c>
      <c r="I187" t="s">
        <v>14</v>
      </c>
      <c r="J187" t="str">
        <f>UPPER(TRIM(cloudSense[[#This Row],[service_name]]))</f>
        <v>S3</v>
      </c>
      <c r="K187" t="str">
        <f>LOWER(TRIM(cloudSense[[#This Row],[region]]))</f>
        <v>us-west</v>
      </c>
      <c r="L187" t="str">
        <f>PROPER(TRIM(cloudSense[[#This Row],[resource_status]]))</f>
        <v>Active</v>
      </c>
      <c r="N187">
        <f>cloudSense[[#This Row],[allocated_cost]]-cloudSense[[#This Row],[actual_used_cost]]</f>
        <v>15</v>
      </c>
      <c r="O187" s="2">
        <f>(cloudSense[[#This Row],[allocated_cost]]-cloudSense[[#This Row],[actual_used_cost]])/cloudSense[[#This Row],[allocated_cost]]*100</f>
        <v>2.1428571428571428</v>
      </c>
    </row>
    <row r="188" spans="1:15" x14ac:dyDescent="0.3">
      <c r="A188">
        <v>187</v>
      </c>
      <c r="B188" s="1">
        <v>45751</v>
      </c>
      <c r="C188" t="s">
        <v>9</v>
      </c>
      <c r="D188" t="s">
        <v>10</v>
      </c>
      <c r="E188">
        <v>44</v>
      </c>
      <c r="F188">
        <v>195</v>
      </c>
      <c r="G188">
        <v>500</v>
      </c>
      <c r="H188">
        <v>365</v>
      </c>
      <c r="I188" t="s">
        <v>14</v>
      </c>
      <c r="J188" t="str">
        <f>UPPER(TRIM(cloudSense[[#This Row],[service_name]]))</f>
        <v>EC2</v>
      </c>
      <c r="K188" t="str">
        <f>LOWER(TRIM(cloudSense[[#This Row],[region]]))</f>
        <v>us-east</v>
      </c>
      <c r="L188" t="str">
        <f>PROPER(TRIM(cloudSense[[#This Row],[resource_status]]))</f>
        <v>Active</v>
      </c>
      <c r="N188">
        <f>cloudSense[[#This Row],[allocated_cost]]-cloudSense[[#This Row],[actual_used_cost]]</f>
        <v>135</v>
      </c>
      <c r="O188" s="2">
        <f>(cloudSense[[#This Row],[allocated_cost]]-cloudSense[[#This Row],[actual_used_cost]])/cloudSense[[#This Row],[allocated_cost]]*100</f>
        <v>27</v>
      </c>
    </row>
    <row r="189" spans="1:15" x14ac:dyDescent="0.3">
      <c r="A189">
        <v>188</v>
      </c>
      <c r="B189" s="1">
        <v>45751</v>
      </c>
      <c r="C189" t="s">
        <v>17</v>
      </c>
      <c r="D189" t="s">
        <v>21</v>
      </c>
      <c r="E189">
        <v>29</v>
      </c>
      <c r="F189">
        <v>245</v>
      </c>
      <c r="G189">
        <v>600</v>
      </c>
      <c r="H189">
        <v>205</v>
      </c>
      <c r="I189" t="s">
        <v>11</v>
      </c>
      <c r="J189" t="str">
        <f>UPPER(TRIM(cloudSense[[#This Row],[service_name]]))</f>
        <v>RDS</v>
      </c>
      <c r="K189" t="str">
        <f>LOWER(TRIM(cloudSense[[#This Row],[region]]))</f>
        <v>eu-central</v>
      </c>
      <c r="L189" t="str">
        <f>PROPER(TRIM(cloudSense[[#This Row],[resource_status]]))</f>
        <v>Idle</v>
      </c>
      <c r="N189">
        <f>cloudSense[[#This Row],[allocated_cost]]-cloudSense[[#This Row],[actual_used_cost]]</f>
        <v>395</v>
      </c>
      <c r="O189" s="2">
        <f>(cloudSense[[#This Row],[allocated_cost]]-cloudSense[[#This Row],[actual_used_cost]])/cloudSense[[#This Row],[allocated_cost]]*100</f>
        <v>65.833333333333329</v>
      </c>
    </row>
    <row r="190" spans="1:15" x14ac:dyDescent="0.3">
      <c r="A190">
        <v>189</v>
      </c>
      <c r="B190" s="1">
        <v>45752</v>
      </c>
      <c r="C190" t="s">
        <v>9</v>
      </c>
      <c r="D190" t="s">
        <v>10</v>
      </c>
      <c r="E190">
        <v>95</v>
      </c>
      <c r="F190">
        <v>290</v>
      </c>
      <c r="G190">
        <v>500</v>
      </c>
      <c r="H190">
        <v>492</v>
      </c>
      <c r="I190" t="s">
        <v>14</v>
      </c>
      <c r="J190" t="str">
        <f>UPPER(TRIM(cloudSense[[#This Row],[service_name]]))</f>
        <v>EC2</v>
      </c>
      <c r="K190" t="str">
        <f>LOWER(TRIM(cloudSense[[#This Row],[region]]))</f>
        <v>us-east</v>
      </c>
      <c r="L190" t="str">
        <f>PROPER(TRIM(cloudSense[[#This Row],[resource_status]]))</f>
        <v>Active</v>
      </c>
      <c r="N190">
        <f>cloudSense[[#This Row],[allocated_cost]]-cloudSense[[#This Row],[actual_used_cost]]</f>
        <v>8</v>
      </c>
      <c r="O190" s="2">
        <f>(cloudSense[[#This Row],[allocated_cost]]-cloudSense[[#This Row],[actual_used_cost]])/cloudSense[[#This Row],[allocated_cost]]*100</f>
        <v>1.6</v>
      </c>
    </row>
    <row r="191" spans="1:15" x14ac:dyDescent="0.3">
      <c r="A191">
        <v>190</v>
      </c>
      <c r="B191" s="1">
        <v>45752</v>
      </c>
      <c r="C191" t="s">
        <v>12</v>
      </c>
      <c r="D191" t="s">
        <v>13</v>
      </c>
      <c r="E191">
        <v>62</v>
      </c>
      <c r="F191">
        <v>545</v>
      </c>
      <c r="G191">
        <v>700</v>
      </c>
      <c r="H191">
        <v>465</v>
      </c>
      <c r="I191" t="s">
        <v>14</v>
      </c>
      <c r="J191" t="str">
        <f>UPPER(TRIM(cloudSense[[#This Row],[service_name]]))</f>
        <v>S3</v>
      </c>
      <c r="K191" t="str">
        <f>LOWER(TRIM(cloudSense[[#This Row],[region]]))</f>
        <v>us-west</v>
      </c>
      <c r="L191" t="str">
        <f>PROPER(TRIM(cloudSense[[#This Row],[resource_status]]))</f>
        <v>Active</v>
      </c>
      <c r="N191">
        <f>cloudSense[[#This Row],[allocated_cost]]-cloudSense[[#This Row],[actual_used_cost]]</f>
        <v>235</v>
      </c>
      <c r="O191" s="2">
        <f>(cloudSense[[#This Row],[allocated_cost]]-cloudSense[[#This Row],[actual_used_cost]])/cloudSense[[#This Row],[allocated_cost]]*100</f>
        <v>33.571428571428569</v>
      </c>
    </row>
    <row r="192" spans="1:15" x14ac:dyDescent="0.3">
      <c r="A192">
        <v>191</v>
      </c>
      <c r="B192" s="1">
        <v>45753</v>
      </c>
      <c r="C192" t="s">
        <v>15</v>
      </c>
      <c r="D192" t="s">
        <v>10</v>
      </c>
      <c r="E192">
        <v>17</v>
      </c>
      <c r="F192">
        <v>108</v>
      </c>
      <c r="G192">
        <v>500</v>
      </c>
      <c r="H192">
        <v>135</v>
      </c>
      <c r="I192" t="s">
        <v>11</v>
      </c>
      <c r="J192" t="str">
        <f>UPPER(TRIM(cloudSense[[#This Row],[service_name]]))</f>
        <v>EC2</v>
      </c>
      <c r="K192" t="str">
        <f>LOWER(TRIM(cloudSense[[#This Row],[region]]))</f>
        <v>us-east</v>
      </c>
      <c r="L192" t="str">
        <f>PROPER(TRIM(cloudSense[[#This Row],[resource_status]]))</f>
        <v>Idle</v>
      </c>
      <c r="N192">
        <f>cloudSense[[#This Row],[allocated_cost]]-cloudSense[[#This Row],[actual_used_cost]]</f>
        <v>365</v>
      </c>
      <c r="O192" s="2">
        <f>(cloudSense[[#This Row],[allocated_cost]]-cloudSense[[#This Row],[actual_used_cost]])/cloudSense[[#This Row],[allocated_cost]]*100</f>
        <v>73</v>
      </c>
    </row>
    <row r="193" spans="1:15" x14ac:dyDescent="0.3">
      <c r="A193">
        <v>192</v>
      </c>
      <c r="B193" s="1">
        <v>45753</v>
      </c>
      <c r="C193" t="s">
        <v>17</v>
      </c>
      <c r="D193" t="s">
        <v>20</v>
      </c>
      <c r="E193">
        <v>88</v>
      </c>
      <c r="F193">
        <v>400</v>
      </c>
      <c r="G193">
        <v>600</v>
      </c>
      <c r="H193">
        <v>600</v>
      </c>
      <c r="I193" t="s">
        <v>14</v>
      </c>
      <c r="J193" t="str">
        <f>UPPER(TRIM(cloudSense[[#This Row],[service_name]]))</f>
        <v>RDS</v>
      </c>
      <c r="K193" t="str">
        <f>LOWER(TRIM(cloudSense[[#This Row],[region]]))</f>
        <v>asia-south</v>
      </c>
      <c r="L193" t="str">
        <f>PROPER(TRIM(cloudSense[[#This Row],[resource_status]]))</f>
        <v>Active</v>
      </c>
      <c r="N193">
        <f>cloudSense[[#This Row],[allocated_cost]]-cloudSense[[#This Row],[actual_used_cost]]</f>
        <v>0</v>
      </c>
      <c r="O193" s="2">
        <f>(cloudSense[[#This Row],[allocated_cost]]-cloudSense[[#This Row],[actual_used_cost]])/cloudSense[[#This Row],[allocated_cost]]*100</f>
        <v>0</v>
      </c>
    </row>
    <row r="194" spans="1:15" x14ac:dyDescent="0.3">
      <c r="A194">
        <v>193</v>
      </c>
      <c r="B194" s="1">
        <v>45754</v>
      </c>
      <c r="C194" t="s">
        <v>19</v>
      </c>
      <c r="D194" t="s">
        <v>13</v>
      </c>
      <c r="E194">
        <v>4</v>
      </c>
      <c r="F194">
        <v>20</v>
      </c>
      <c r="G194">
        <v>200</v>
      </c>
      <c r="H194">
        <v>46</v>
      </c>
      <c r="I194" t="s">
        <v>11</v>
      </c>
      <c r="J194" t="str">
        <f>UPPER(TRIM(cloudSense[[#This Row],[service_name]]))</f>
        <v>LAMBDA</v>
      </c>
      <c r="K194" t="str">
        <f>LOWER(TRIM(cloudSense[[#This Row],[region]]))</f>
        <v>us-west</v>
      </c>
      <c r="L194" t="str">
        <f>PROPER(TRIM(cloudSense[[#This Row],[resource_status]]))</f>
        <v>Idle</v>
      </c>
      <c r="N194">
        <f>cloudSense[[#This Row],[allocated_cost]]-cloudSense[[#This Row],[actual_used_cost]]</f>
        <v>154</v>
      </c>
      <c r="O194" s="2">
        <f>(cloudSense[[#This Row],[allocated_cost]]-cloudSense[[#This Row],[actual_used_cost]])/cloudSense[[#This Row],[allocated_cost]]*100</f>
        <v>77</v>
      </c>
    </row>
    <row r="195" spans="1:15" x14ac:dyDescent="0.3">
      <c r="A195">
        <v>194</v>
      </c>
      <c r="B195" s="1">
        <v>45754</v>
      </c>
      <c r="C195" t="s">
        <v>12</v>
      </c>
      <c r="D195" t="s">
        <v>13</v>
      </c>
      <c r="E195">
        <v>98</v>
      </c>
      <c r="F195">
        <v>565</v>
      </c>
      <c r="G195">
        <v>700</v>
      </c>
      <c r="H195">
        <v>699</v>
      </c>
      <c r="I195" t="s">
        <v>14</v>
      </c>
      <c r="J195" t="str">
        <f>UPPER(TRIM(cloudSense[[#This Row],[service_name]]))</f>
        <v>S3</v>
      </c>
      <c r="K195" t="str">
        <f>LOWER(TRIM(cloudSense[[#This Row],[region]]))</f>
        <v>us-west</v>
      </c>
      <c r="L195" t="str">
        <f>PROPER(TRIM(cloudSense[[#This Row],[resource_status]]))</f>
        <v>Active</v>
      </c>
      <c r="N195">
        <f>cloudSense[[#This Row],[allocated_cost]]-cloudSense[[#This Row],[actual_used_cost]]</f>
        <v>1</v>
      </c>
      <c r="O195" s="2">
        <f>(cloudSense[[#This Row],[allocated_cost]]-cloudSense[[#This Row],[actual_used_cost]])/cloudSense[[#This Row],[allocated_cost]]*100</f>
        <v>0.14285714285714285</v>
      </c>
    </row>
    <row r="196" spans="1:15" x14ac:dyDescent="0.3">
      <c r="A196">
        <v>195</v>
      </c>
      <c r="B196" s="1">
        <v>45755</v>
      </c>
      <c r="C196" t="s">
        <v>9</v>
      </c>
      <c r="D196" t="s">
        <v>10</v>
      </c>
      <c r="E196">
        <v>38</v>
      </c>
      <c r="F196">
        <v>178</v>
      </c>
      <c r="G196">
        <v>500</v>
      </c>
      <c r="H196">
        <v>310</v>
      </c>
      <c r="I196" t="s">
        <v>14</v>
      </c>
      <c r="J196" t="str">
        <f>UPPER(TRIM(cloudSense[[#This Row],[service_name]]))</f>
        <v>EC2</v>
      </c>
      <c r="K196" t="str">
        <f>LOWER(TRIM(cloudSense[[#This Row],[region]]))</f>
        <v>us-east</v>
      </c>
      <c r="L196" t="str">
        <f>PROPER(TRIM(cloudSense[[#This Row],[resource_status]]))</f>
        <v>Active</v>
      </c>
      <c r="N196">
        <f>cloudSense[[#This Row],[allocated_cost]]-cloudSense[[#This Row],[actual_used_cost]]</f>
        <v>190</v>
      </c>
      <c r="O196" s="2">
        <f>(cloudSense[[#This Row],[allocated_cost]]-cloudSense[[#This Row],[actual_used_cost]])/cloudSense[[#This Row],[allocated_cost]]*100</f>
        <v>38</v>
      </c>
    </row>
    <row r="197" spans="1:15" x14ac:dyDescent="0.3">
      <c r="A197">
        <v>196</v>
      </c>
      <c r="B197" s="1">
        <v>45755</v>
      </c>
      <c r="C197" t="s">
        <v>17</v>
      </c>
      <c r="D197" t="s">
        <v>18</v>
      </c>
      <c r="F197">
        <v>298</v>
      </c>
      <c r="G197">
        <v>600</v>
      </c>
      <c r="H197">
        <v>415</v>
      </c>
      <c r="I197" t="s">
        <v>11</v>
      </c>
      <c r="J197" t="str">
        <f>UPPER(TRIM(cloudSense[[#This Row],[service_name]]))</f>
        <v>RDS</v>
      </c>
      <c r="K197" t="str">
        <f>LOWER(TRIM(cloudSense[[#This Row],[region]]))</f>
        <v>eu-central</v>
      </c>
      <c r="L197" t="str">
        <f>PROPER(TRIM(cloudSense[[#This Row],[resource_status]]))</f>
        <v>Idle</v>
      </c>
      <c r="N197">
        <f>cloudSense[[#This Row],[allocated_cost]]-cloudSense[[#This Row],[actual_used_cost]]</f>
        <v>185</v>
      </c>
      <c r="O197" s="2">
        <f>(cloudSense[[#This Row],[allocated_cost]]-cloudSense[[#This Row],[actual_used_cost]])/cloudSense[[#This Row],[allocated_cost]]*100</f>
        <v>30.833333333333336</v>
      </c>
    </row>
    <row r="198" spans="1:15" x14ac:dyDescent="0.3">
      <c r="A198">
        <v>197</v>
      </c>
      <c r="B198" s="1">
        <v>45756</v>
      </c>
      <c r="C198" t="s">
        <v>19</v>
      </c>
      <c r="D198" t="s">
        <v>20</v>
      </c>
      <c r="E198">
        <v>6</v>
      </c>
      <c r="F198">
        <v>32</v>
      </c>
      <c r="G198">
        <v>200</v>
      </c>
      <c r="H198">
        <v>60</v>
      </c>
      <c r="I198" t="s">
        <v>11</v>
      </c>
      <c r="J198" t="str">
        <f>UPPER(TRIM(cloudSense[[#This Row],[service_name]]))</f>
        <v>LAMBDA</v>
      </c>
      <c r="K198" t="str">
        <f>LOWER(TRIM(cloudSense[[#This Row],[region]]))</f>
        <v>asia-south</v>
      </c>
      <c r="L198" t="str">
        <f>PROPER(TRIM(cloudSense[[#This Row],[resource_status]]))</f>
        <v>Idle</v>
      </c>
      <c r="N198">
        <f>cloudSense[[#This Row],[allocated_cost]]-cloudSense[[#This Row],[actual_used_cost]]</f>
        <v>140</v>
      </c>
      <c r="O198" s="2">
        <f>(cloudSense[[#This Row],[allocated_cost]]-cloudSense[[#This Row],[actual_used_cost]])/cloudSense[[#This Row],[allocated_cost]]*100</f>
        <v>70</v>
      </c>
    </row>
    <row r="199" spans="1:15" x14ac:dyDescent="0.3">
      <c r="A199">
        <v>198</v>
      </c>
      <c r="B199" s="1">
        <v>45756</v>
      </c>
      <c r="C199" t="s">
        <v>12</v>
      </c>
      <c r="D199" t="s">
        <v>13</v>
      </c>
      <c r="E199">
        <v>99</v>
      </c>
      <c r="F199">
        <v>595</v>
      </c>
      <c r="G199">
        <v>700</v>
      </c>
      <c r="H199">
        <v>700</v>
      </c>
      <c r="I199" t="s">
        <v>14</v>
      </c>
      <c r="J199" t="str">
        <f>UPPER(TRIM(cloudSense[[#This Row],[service_name]]))</f>
        <v>S3</v>
      </c>
      <c r="K199" t="str">
        <f>LOWER(TRIM(cloudSense[[#This Row],[region]]))</f>
        <v>us-west</v>
      </c>
      <c r="L199" t="str">
        <f>PROPER(TRIM(cloudSense[[#This Row],[resource_status]]))</f>
        <v>Active</v>
      </c>
      <c r="N199">
        <f>cloudSense[[#This Row],[allocated_cost]]-cloudSense[[#This Row],[actual_used_cost]]</f>
        <v>0</v>
      </c>
      <c r="O199" s="2">
        <f>(cloudSense[[#This Row],[allocated_cost]]-cloudSense[[#This Row],[actual_used_cost]])/cloudSense[[#This Row],[allocated_cost]]*100</f>
        <v>0</v>
      </c>
    </row>
    <row r="200" spans="1:15" x14ac:dyDescent="0.3">
      <c r="A200">
        <v>199</v>
      </c>
      <c r="B200" s="1">
        <v>45757</v>
      </c>
      <c r="C200" t="s">
        <v>15</v>
      </c>
      <c r="D200" t="s">
        <v>10</v>
      </c>
      <c r="E200">
        <v>23</v>
      </c>
      <c r="F200">
        <v>125</v>
      </c>
      <c r="G200">
        <v>500</v>
      </c>
      <c r="H200">
        <v>205</v>
      </c>
      <c r="I200" t="s">
        <v>16</v>
      </c>
      <c r="J200" t="str">
        <f>UPPER(TRIM(cloudSense[[#This Row],[service_name]]))</f>
        <v>EC2</v>
      </c>
      <c r="K200" t="str">
        <f>LOWER(TRIM(cloudSense[[#This Row],[region]]))</f>
        <v>us-east</v>
      </c>
      <c r="L200" t="str">
        <f>PROPER(TRIM(cloudSense[[#This Row],[resource_status]]))</f>
        <v>Idle</v>
      </c>
      <c r="N200">
        <f>cloudSense[[#This Row],[allocated_cost]]-cloudSense[[#This Row],[actual_used_cost]]</f>
        <v>295</v>
      </c>
      <c r="O200" s="2">
        <f>(cloudSense[[#This Row],[allocated_cost]]-cloudSense[[#This Row],[actual_used_cost]])/cloudSense[[#This Row],[allocated_cost]]*100</f>
        <v>59</v>
      </c>
    </row>
    <row r="201" spans="1:15" x14ac:dyDescent="0.3">
      <c r="A201">
        <v>200</v>
      </c>
      <c r="B201" s="1">
        <v>45757</v>
      </c>
      <c r="C201" t="s">
        <v>17</v>
      </c>
      <c r="D201" t="s">
        <v>21</v>
      </c>
      <c r="E201">
        <v>78</v>
      </c>
      <c r="F201">
        <v>335</v>
      </c>
      <c r="G201">
        <v>600</v>
      </c>
      <c r="H201">
        <v>595</v>
      </c>
      <c r="I201" t="s">
        <v>14</v>
      </c>
      <c r="J201" t="str">
        <f>UPPER(TRIM(cloudSense[[#This Row],[service_name]]))</f>
        <v>RDS</v>
      </c>
      <c r="K201" t="str">
        <f>LOWER(TRIM(cloudSense[[#This Row],[region]]))</f>
        <v>eu-central</v>
      </c>
      <c r="L201" t="str">
        <f>PROPER(TRIM(cloudSense[[#This Row],[resource_status]]))</f>
        <v>Active</v>
      </c>
      <c r="N201">
        <f>cloudSense[[#This Row],[allocated_cost]]-cloudSense[[#This Row],[actual_used_cost]]</f>
        <v>5</v>
      </c>
      <c r="O201" s="2">
        <f>(cloudSense[[#This Row],[allocated_cost]]-cloudSense[[#This Row],[actual_used_cost]])/cloudSense[[#This Row],[allocated_cost]]*100</f>
        <v>0.83333333333333337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F1D6-CA16-472F-89D5-D0ACB383214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55A96-43B7-4013-A690-BC8E9B1291CC}">
  <dimension ref="A1:K201"/>
  <sheetViews>
    <sheetView tabSelected="1" workbookViewId="0">
      <selection activeCell="K1" sqref="A1:K1048576"/>
    </sheetView>
  </sheetViews>
  <sheetFormatPr defaultRowHeight="14.4" x14ac:dyDescent="0.3"/>
  <cols>
    <col min="1" max="1" width="11.21875" bestFit="1" customWidth="1"/>
    <col min="2" max="2" width="16.109375" style="1" bestFit="1" customWidth="1"/>
    <col min="3" max="3" width="12.5546875" bestFit="1" customWidth="1"/>
    <col min="4" max="4" width="15.44140625" bestFit="1" customWidth="1"/>
    <col min="5" max="5" width="17.88671875" bestFit="1" customWidth="1"/>
    <col min="6" max="6" width="15.6640625" customWidth="1"/>
    <col min="7" max="7" width="14.109375" customWidth="1"/>
    <col min="8" max="8" width="14.33203125" customWidth="1"/>
    <col min="9" max="9" width="13.88671875" customWidth="1"/>
    <col min="10" max="10" width="18.88671875" style="3" customWidth="1"/>
    <col min="11" max="11" width="12.33203125" customWidth="1"/>
  </cols>
  <sheetData>
    <row r="1" spans="1:11" x14ac:dyDescent="0.3">
      <c r="A1" s="5" t="s">
        <v>0</v>
      </c>
      <c r="B1" s="6" t="s">
        <v>1</v>
      </c>
      <c r="C1" s="7" t="s">
        <v>5</v>
      </c>
      <c r="D1" s="7" t="s">
        <v>6</v>
      </c>
      <c r="E1" s="7" t="s">
        <v>7</v>
      </c>
      <c r="F1" s="7" t="s">
        <v>22</v>
      </c>
      <c r="G1" s="7" t="s">
        <v>23</v>
      </c>
      <c r="H1" s="7" t="s">
        <v>24</v>
      </c>
      <c r="I1" s="7" t="s">
        <v>26</v>
      </c>
      <c r="J1" s="8" t="s">
        <v>27</v>
      </c>
      <c r="K1" s="9" t="s">
        <v>25</v>
      </c>
    </row>
    <row r="2" spans="1:11" x14ac:dyDescent="0.3">
      <c r="A2" s="10">
        <v>1</v>
      </c>
      <c r="B2" s="11">
        <v>45658</v>
      </c>
      <c r="C2" s="4">
        <v>120</v>
      </c>
      <c r="D2" s="4">
        <v>500</v>
      </c>
      <c r="E2" s="4">
        <v>210</v>
      </c>
      <c r="F2" s="4" t="s">
        <v>9</v>
      </c>
      <c r="G2" s="4" t="s">
        <v>10</v>
      </c>
      <c r="H2" s="4" t="str">
        <f>PROPER(TRIM(cloudSense[[#This Row],[resource_status]]))</f>
        <v>Idle</v>
      </c>
      <c r="I2" s="4">
        <f>cloudSense[[#This Row],[allocated_cost]]-cloudSense[[#This Row],[actual_used_cost]]</f>
        <v>290</v>
      </c>
      <c r="J2" s="12">
        <f>((cloudSense[[#This Row],[allocated_cost]]-cloudSense[[#This Row],[actual_used_cost]])/cloudSense[[#This Row],[allocated_cost]]*100)*0.01</f>
        <v>0.57999999999999996</v>
      </c>
      <c r="K2" s="13">
        <f>IF('cloudSense'!E2="",AVERAGE('cloudSense'!$E$2:$E$201),'cloudSense'!E2)</f>
        <v>23</v>
      </c>
    </row>
    <row r="3" spans="1:11" x14ac:dyDescent="0.3">
      <c r="A3" s="10">
        <v>2</v>
      </c>
      <c r="B3" s="11">
        <v>45658</v>
      </c>
      <c r="C3" s="4">
        <v>450</v>
      </c>
      <c r="D3" s="4">
        <v>700</v>
      </c>
      <c r="E3" s="4">
        <v>690</v>
      </c>
      <c r="F3" s="4" t="s">
        <v>12</v>
      </c>
      <c r="G3" s="4" t="s">
        <v>13</v>
      </c>
      <c r="H3" s="4" t="str">
        <f>PROPER(TRIM(cloudSense[[#This Row],[resource_status]]))</f>
        <v>Active</v>
      </c>
      <c r="I3" s="4">
        <f>cloudSense[[#This Row],[allocated_cost]]-cloudSense[[#This Row],[actual_used_cost]]</f>
        <v>10</v>
      </c>
      <c r="J3" s="12">
        <f>((cloudSense[[#This Row],[allocated_cost]]-cloudSense[[#This Row],[actual_used_cost]])/cloudSense[[#This Row],[allocated_cost]]*100)*0.01</f>
        <v>1.4285714285714287E-2</v>
      </c>
      <c r="K3" s="13">
        <f>IF('cloudSense'!E3="",AVERAGE('cloudSense'!$E$2:$E$201),'cloudSense'!E3)</f>
        <v>78</v>
      </c>
    </row>
    <row r="4" spans="1:11" x14ac:dyDescent="0.3">
      <c r="A4" s="10">
        <v>3</v>
      </c>
      <c r="B4" s="11">
        <v>45659</v>
      </c>
      <c r="C4" s="4">
        <v>90</v>
      </c>
      <c r="D4" s="4">
        <v>500</v>
      </c>
      <c r="E4" s="4">
        <v>120</v>
      </c>
      <c r="F4" s="4" t="s">
        <v>9</v>
      </c>
      <c r="G4" s="4" t="s">
        <v>10</v>
      </c>
      <c r="H4" s="4" t="str">
        <f>PROPER(TRIM(cloudSense[[#This Row],[resource_status]]))</f>
        <v>Idle</v>
      </c>
      <c r="I4" s="4">
        <f>cloudSense[[#This Row],[allocated_cost]]-cloudSense[[#This Row],[actual_used_cost]]</f>
        <v>380</v>
      </c>
      <c r="J4" s="12">
        <f>((cloudSense[[#This Row],[allocated_cost]]-cloudSense[[#This Row],[actual_used_cost]])/cloudSense[[#This Row],[allocated_cost]]*100)*0.01</f>
        <v>0.76</v>
      </c>
      <c r="K4" s="13">
        <f>IF('cloudSense'!E4="",AVERAGE('cloudSense'!$E$2:$E$201),'cloudSense'!E4)</f>
        <v>12</v>
      </c>
    </row>
    <row r="5" spans="1:11" x14ac:dyDescent="0.3">
      <c r="A5" s="10">
        <v>4</v>
      </c>
      <c r="B5" s="11">
        <v>45659</v>
      </c>
      <c r="C5" s="4">
        <v>300</v>
      </c>
      <c r="D5" s="4">
        <v>600</v>
      </c>
      <c r="E5" s="4">
        <v>580</v>
      </c>
      <c r="F5" s="4" t="s">
        <v>17</v>
      </c>
      <c r="G5" s="4" t="s">
        <v>18</v>
      </c>
      <c r="H5" s="4" t="str">
        <f>PROPER(TRIM(cloudSense[[#This Row],[resource_status]]))</f>
        <v>Active</v>
      </c>
      <c r="I5" s="4">
        <f>cloudSense[[#This Row],[allocated_cost]]-cloudSense[[#This Row],[actual_used_cost]]</f>
        <v>20</v>
      </c>
      <c r="J5" s="12">
        <f>((cloudSense[[#This Row],[allocated_cost]]-cloudSense[[#This Row],[actual_used_cost]])/cloudSense[[#This Row],[allocated_cost]]*100)*0.01</f>
        <v>3.3333333333333333E-2</v>
      </c>
      <c r="K5" s="13">
        <f>IF('cloudSense'!E5="",AVERAGE('cloudSense'!$E$2:$E$201),'cloudSense'!E5)</f>
        <v>65</v>
      </c>
    </row>
    <row r="6" spans="1:11" x14ac:dyDescent="0.3">
      <c r="A6" s="10">
        <v>5</v>
      </c>
      <c r="B6" s="11">
        <v>45660</v>
      </c>
      <c r="C6" s="4">
        <v>20</v>
      </c>
      <c r="D6" s="4">
        <v>200</v>
      </c>
      <c r="E6" s="4">
        <v>50</v>
      </c>
      <c r="F6" s="4" t="s">
        <v>28</v>
      </c>
      <c r="G6" s="4" t="s">
        <v>20</v>
      </c>
      <c r="H6" s="4" t="str">
        <f>PROPER(TRIM(cloudSense[[#This Row],[resource_status]]))</f>
        <v>Idle</v>
      </c>
      <c r="I6" s="4">
        <f>cloudSense[[#This Row],[allocated_cost]]-cloudSense[[#This Row],[actual_used_cost]]</f>
        <v>150</v>
      </c>
      <c r="J6" s="12">
        <f>((cloudSense[[#This Row],[allocated_cost]]-cloudSense[[#This Row],[actual_used_cost]])/cloudSense[[#This Row],[allocated_cost]]*100)*0.01</f>
        <v>0.75</v>
      </c>
      <c r="K6" s="13">
        <f>IF('cloudSense'!E6="",AVERAGE('cloudSense'!$E$2:$E$201),'cloudSense'!E6)</f>
        <v>5</v>
      </c>
    </row>
    <row r="7" spans="1:11" x14ac:dyDescent="0.3">
      <c r="A7" s="10">
        <v>6</v>
      </c>
      <c r="B7" s="11">
        <v>45660</v>
      </c>
      <c r="C7" s="4">
        <v>400</v>
      </c>
      <c r="D7" s="4">
        <v>700</v>
      </c>
      <c r="E7" s="4">
        <v>650</v>
      </c>
      <c r="F7" s="4" t="s">
        <v>12</v>
      </c>
      <c r="G7" s="4" t="s">
        <v>13</v>
      </c>
      <c r="H7" s="4" t="str">
        <f>PROPER(TRIM(cloudSense[[#This Row],[resource_status]]))</f>
        <v>Active</v>
      </c>
      <c r="I7" s="4">
        <f>cloudSense[[#This Row],[allocated_cost]]-cloudSense[[#This Row],[actual_used_cost]]</f>
        <v>50</v>
      </c>
      <c r="J7" s="12">
        <f>((cloudSense[[#This Row],[allocated_cost]]-cloudSense[[#This Row],[actual_used_cost]])/cloudSense[[#This Row],[allocated_cost]]*100)*0.01</f>
        <v>7.1428571428571425E-2</v>
      </c>
      <c r="K7" s="13">
        <f>IF('cloudSense'!E7="",AVERAGE('cloudSense'!$E$2:$E$201),'cloudSense'!E7)</f>
        <v>47.111111111111114</v>
      </c>
    </row>
    <row r="8" spans="1:11" x14ac:dyDescent="0.3">
      <c r="A8" s="10">
        <v>7</v>
      </c>
      <c r="B8" s="11">
        <v>45661</v>
      </c>
      <c r="C8" s="4">
        <v>150</v>
      </c>
      <c r="D8" s="4">
        <v>500</v>
      </c>
      <c r="E8" s="4">
        <v>300</v>
      </c>
      <c r="F8" s="4" t="s">
        <v>9</v>
      </c>
      <c r="G8" s="4" t="s">
        <v>10</v>
      </c>
      <c r="H8" s="4" t="str">
        <f>PROPER(TRIM(cloudSense[[#This Row],[resource_status]]))</f>
        <v>Active</v>
      </c>
      <c r="I8" s="4">
        <f>cloudSense[[#This Row],[allocated_cost]]-cloudSense[[#This Row],[actual_used_cost]]</f>
        <v>200</v>
      </c>
      <c r="J8" s="12">
        <f>((cloudSense[[#This Row],[allocated_cost]]-cloudSense[[#This Row],[actual_used_cost]])/cloudSense[[#This Row],[allocated_cost]]*100)*0.01</f>
        <v>0.4</v>
      </c>
      <c r="K8" s="13">
        <f>IF('cloudSense'!E8="",AVERAGE('cloudSense'!$E$2:$E$201),'cloudSense'!E8)</f>
        <v>33</v>
      </c>
    </row>
    <row r="9" spans="1:11" x14ac:dyDescent="0.3">
      <c r="A9" s="10">
        <v>8</v>
      </c>
      <c r="B9" s="11">
        <v>45661</v>
      </c>
      <c r="C9" s="4">
        <v>200</v>
      </c>
      <c r="D9" s="4">
        <v>600</v>
      </c>
      <c r="E9" s="4">
        <v>150</v>
      </c>
      <c r="F9" s="4" t="s">
        <v>17</v>
      </c>
      <c r="G9" s="4" t="s">
        <v>18</v>
      </c>
      <c r="H9" s="4" t="str">
        <f>PROPER(TRIM(cloudSense[[#This Row],[resource_status]]))</f>
        <v>Idle</v>
      </c>
      <c r="I9" s="4">
        <f>cloudSense[[#This Row],[allocated_cost]]-cloudSense[[#This Row],[actual_used_cost]]</f>
        <v>450</v>
      </c>
      <c r="J9" s="12">
        <f>((cloudSense[[#This Row],[allocated_cost]]-cloudSense[[#This Row],[actual_used_cost]])/cloudSense[[#This Row],[allocated_cost]]*100)*0.01</f>
        <v>0.75</v>
      </c>
      <c r="K9" s="13">
        <f>IF('cloudSense'!E9="",AVERAGE('cloudSense'!$E$2:$E$201),'cloudSense'!E9)</f>
        <v>18</v>
      </c>
    </row>
    <row r="10" spans="1:11" x14ac:dyDescent="0.3">
      <c r="A10" s="10">
        <v>9</v>
      </c>
      <c r="B10" s="11">
        <v>45662</v>
      </c>
      <c r="C10" s="4">
        <v>250</v>
      </c>
      <c r="D10" s="4">
        <v>500</v>
      </c>
      <c r="E10" s="4">
        <v>480</v>
      </c>
      <c r="F10" s="4" t="s">
        <v>9</v>
      </c>
      <c r="G10" s="4" t="s">
        <v>10</v>
      </c>
      <c r="H10" s="4" t="str">
        <f>PROPER(TRIM(cloudSense[[#This Row],[resource_status]]))</f>
        <v>Active</v>
      </c>
      <c r="I10" s="4">
        <f>cloudSense[[#This Row],[allocated_cost]]-cloudSense[[#This Row],[actual_used_cost]]</f>
        <v>20</v>
      </c>
      <c r="J10" s="12">
        <f>((cloudSense[[#This Row],[allocated_cost]]-cloudSense[[#This Row],[actual_used_cost]])/cloudSense[[#This Row],[allocated_cost]]*100)*0.01</f>
        <v>0.04</v>
      </c>
      <c r="K10" s="13">
        <f>IF('cloudSense'!E10="",AVERAGE('cloudSense'!$E$2:$E$201),'cloudSense'!E10)</f>
        <v>90</v>
      </c>
    </row>
    <row r="11" spans="1:11" x14ac:dyDescent="0.3">
      <c r="A11" s="10">
        <v>10</v>
      </c>
      <c r="B11" s="11">
        <v>45662</v>
      </c>
      <c r="C11" s="4">
        <v>500</v>
      </c>
      <c r="D11" s="4">
        <v>700</v>
      </c>
      <c r="E11" s="4">
        <v>400</v>
      </c>
      <c r="F11" s="4" t="s">
        <v>12</v>
      </c>
      <c r="G11" s="4" t="s">
        <v>13</v>
      </c>
      <c r="H11" s="4" t="str">
        <f>PROPER(TRIM(cloudSense[[#This Row],[resource_status]]))</f>
        <v>Active</v>
      </c>
      <c r="I11" s="4">
        <f>cloudSense[[#This Row],[allocated_cost]]-cloudSense[[#This Row],[actual_used_cost]]</f>
        <v>300</v>
      </c>
      <c r="J11" s="12">
        <f>((cloudSense[[#This Row],[allocated_cost]]-cloudSense[[#This Row],[actual_used_cost]])/cloudSense[[#This Row],[allocated_cost]]*100)*0.01</f>
        <v>0.42857142857142855</v>
      </c>
      <c r="K11" s="13">
        <f>IF('cloudSense'!E11="",AVERAGE('cloudSense'!$E$2:$E$201),'cloudSense'!E11)</f>
        <v>45</v>
      </c>
    </row>
    <row r="12" spans="1:11" x14ac:dyDescent="0.3">
      <c r="A12" s="10">
        <v>11</v>
      </c>
      <c r="B12" s="11">
        <v>45663</v>
      </c>
      <c r="C12" s="4">
        <v>80</v>
      </c>
      <c r="D12" s="4">
        <v>500</v>
      </c>
      <c r="E12" s="4">
        <v>60</v>
      </c>
      <c r="F12" s="4" t="s">
        <v>9</v>
      </c>
      <c r="G12" s="4" t="s">
        <v>10</v>
      </c>
      <c r="H12" s="4" t="str">
        <f>PROPER(TRIM(cloudSense[[#This Row],[resource_status]]))</f>
        <v>Idle</v>
      </c>
      <c r="I12" s="4">
        <f>cloudSense[[#This Row],[allocated_cost]]-cloudSense[[#This Row],[actual_used_cost]]</f>
        <v>440</v>
      </c>
      <c r="J12" s="12">
        <f>((cloudSense[[#This Row],[allocated_cost]]-cloudSense[[#This Row],[actual_used_cost]])/cloudSense[[#This Row],[allocated_cost]]*100)*0.01</f>
        <v>0.88</v>
      </c>
      <c r="K12" s="13">
        <f>IF('cloudSense'!E12="",AVERAGE('cloudSense'!$E$2:$E$201),'cloudSense'!E12)</f>
        <v>8</v>
      </c>
    </row>
    <row r="13" spans="1:11" x14ac:dyDescent="0.3">
      <c r="A13" s="10">
        <v>12</v>
      </c>
      <c r="B13" s="11">
        <v>45663</v>
      </c>
      <c r="C13" s="4">
        <v>350</v>
      </c>
      <c r="D13" s="4">
        <v>600</v>
      </c>
      <c r="E13" s="4">
        <v>590</v>
      </c>
      <c r="F13" s="4" t="s">
        <v>17</v>
      </c>
      <c r="G13" s="4" t="s">
        <v>20</v>
      </c>
      <c r="H13" s="4" t="str">
        <f>PROPER(TRIM(cloudSense[[#This Row],[resource_status]]))</f>
        <v>Active</v>
      </c>
      <c r="I13" s="4">
        <f>cloudSense[[#This Row],[allocated_cost]]-cloudSense[[#This Row],[actual_used_cost]]</f>
        <v>10</v>
      </c>
      <c r="J13" s="12">
        <f>((cloudSense[[#This Row],[allocated_cost]]-cloudSense[[#This Row],[actual_used_cost]])/cloudSense[[#This Row],[allocated_cost]]*100)*0.01</f>
        <v>1.6666666666666666E-2</v>
      </c>
      <c r="K13" s="13">
        <f>IF('cloudSense'!E13="",AVERAGE('cloudSense'!$E$2:$E$201),'cloudSense'!E13)</f>
        <v>72</v>
      </c>
    </row>
    <row r="14" spans="1:11" x14ac:dyDescent="0.3">
      <c r="A14" s="10">
        <v>13</v>
      </c>
      <c r="B14" s="11">
        <v>45664</v>
      </c>
      <c r="C14" s="4">
        <v>15</v>
      </c>
      <c r="D14" s="4">
        <v>200</v>
      </c>
      <c r="E14" s="4">
        <v>40</v>
      </c>
      <c r="F14" s="4" t="s">
        <v>28</v>
      </c>
      <c r="G14" s="4" t="s">
        <v>13</v>
      </c>
      <c r="H14" s="4" t="str">
        <f>PROPER(TRIM(cloudSense[[#This Row],[resource_status]]))</f>
        <v>Idle</v>
      </c>
      <c r="I14" s="4">
        <f>cloudSense[[#This Row],[allocated_cost]]-cloudSense[[#This Row],[actual_used_cost]]</f>
        <v>160</v>
      </c>
      <c r="J14" s="12">
        <f>((cloudSense[[#This Row],[allocated_cost]]-cloudSense[[#This Row],[actual_used_cost]])/cloudSense[[#This Row],[allocated_cost]]*100)*0.01</f>
        <v>0.8</v>
      </c>
      <c r="K14" s="13">
        <f>IF('cloudSense'!E14="",AVERAGE('cloudSense'!$E$2:$E$201),'cloudSense'!E14)</f>
        <v>3</v>
      </c>
    </row>
    <row r="15" spans="1:11" x14ac:dyDescent="0.3">
      <c r="A15" s="10">
        <v>14</v>
      </c>
      <c r="B15" s="11">
        <v>45664</v>
      </c>
      <c r="C15" s="4">
        <v>520</v>
      </c>
      <c r="D15" s="4">
        <v>700</v>
      </c>
      <c r="E15" s="4">
        <v>680</v>
      </c>
      <c r="F15" s="4" t="s">
        <v>12</v>
      </c>
      <c r="G15" s="4" t="s">
        <v>13</v>
      </c>
      <c r="H15" s="4" t="str">
        <f>PROPER(TRIM(cloudSense[[#This Row],[resource_status]]))</f>
        <v>Active</v>
      </c>
      <c r="I15" s="4">
        <f>cloudSense[[#This Row],[allocated_cost]]-cloudSense[[#This Row],[actual_used_cost]]</f>
        <v>20</v>
      </c>
      <c r="J15" s="12">
        <f>((cloudSense[[#This Row],[allocated_cost]]-cloudSense[[#This Row],[actual_used_cost]])/cloudSense[[#This Row],[allocated_cost]]*100)*0.01</f>
        <v>2.8571428571428574E-2</v>
      </c>
      <c r="K15" s="13">
        <f>IF('cloudSense'!E15="",AVERAGE('cloudSense'!$E$2:$E$201),'cloudSense'!E15)</f>
        <v>88</v>
      </c>
    </row>
    <row r="16" spans="1:11" x14ac:dyDescent="0.3">
      <c r="A16" s="10">
        <v>15</v>
      </c>
      <c r="B16" s="11">
        <v>45665</v>
      </c>
      <c r="C16" s="4">
        <v>140</v>
      </c>
      <c r="D16" s="4">
        <v>500</v>
      </c>
      <c r="E16" s="4">
        <v>260</v>
      </c>
      <c r="F16" s="4" t="s">
        <v>9</v>
      </c>
      <c r="G16" s="4" t="s">
        <v>10</v>
      </c>
      <c r="H16" s="4" t="str">
        <f>PROPER(TRIM(cloudSense[[#This Row],[resource_status]]))</f>
        <v>Active</v>
      </c>
      <c r="I16" s="4">
        <f>cloudSense[[#This Row],[allocated_cost]]-cloudSense[[#This Row],[actual_used_cost]]</f>
        <v>240</v>
      </c>
      <c r="J16" s="12">
        <f>((cloudSense[[#This Row],[allocated_cost]]-cloudSense[[#This Row],[actual_used_cost]])/cloudSense[[#This Row],[allocated_cost]]*100)*0.01</f>
        <v>0.48</v>
      </c>
      <c r="K16" s="13">
        <f>IF('cloudSense'!E16="",AVERAGE('cloudSense'!$E$2:$E$201),'cloudSense'!E16)</f>
        <v>25</v>
      </c>
    </row>
    <row r="17" spans="1:11" x14ac:dyDescent="0.3">
      <c r="A17" s="10">
        <v>16</v>
      </c>
      <c r="B17" s="11">
        <v>45665</v>
      </c>
      <c r="C17" s="4">
        <v>280</v>
      </c>
      <c r="D17" s="4">
        <v>600</v>
      </c>
      <c r="E17" s="4">
        <v>400</v>
      </c>
      <c r="F17" s="4" t="s">
        <v>17</v>
      </c>
      <c r="G17" s="4" t="s">
        <v>18</v>
      </c>
      <c r="H17" s="4" t="str">
        <f>PROPER(TRIM(cloudSense[[#This Row],[resource_status]]))</f>
        <v>Idle</v>
      </c>
      <c r="I17" s="4">
        <f>cloudSense[[#This Row],[allocated_cost]]-cloudSense[[#This Row],[actual_used_cost]]</f>
        <v>200</v>
      </c>
      <c r="J17" s="12">
        <f>((cloudSense[[#This Row],[allocated_cost]]-cloudSense[[#This Row],[actual_used_cost]])/cloudSense[[#This Row],[allocated_cost]]*100)*0.01</f>
        <v>0.33333333333333331</v>
      </c>
      <c r="K17" s="13">
        <f>IF('cloudSense'!E17="",AVERAGE('cloudSense'!$E$2:$E$201),'cloudSense'!E17)</f>
        <v>47.111111111111114</v>
      </c>
    </row>
    <row r="18" spans="1:11" x14ac:dyDescent="0.3">
      <c r="A18" s="10">
        <v>17</v>
      </c>
      <c r="B18" s="11">
        <v>45666</v>
      </c>
      <c r="C18" s="4">
        <v>25</v>
      </c>
      <c r="D18" s="4">
        <v>200</v>
      </c>
      <c r="E18" s="4">
        <v>55</v>
      </c>
      <c r="F18" s="4" t="s">
        <v>28</v>
      </c>
      <c r="G18" s="4" t="s">
        <v>20</v>
      </c>
      <c r="H18" s="4" t="str">
        <f>PROPER(TRIM(cloudSense[[#This Row],[resource_status]]))</f>
        <v>Idle</v>
      </c>
      <c r="I18" s="4">
        <f>cloudSense[[#This Row],[allocated_cost]]-cloudSense[[#This Row],[actual_used_cost]]</f>
        <v>145</v>
      </c>
      <c r="J18" s="12">
        <f>((cloudSense[[#This Row],[allocated_cost]]-cloudSense[[#This Row],[actual_used_cost]])/cloudSense[[#This Row],[allocated_cost]]*100)*0.01</f>
        <v>0.72499999999999998</v>
      </c>
      <c r="K18" s="13">
        <f>IF('cloudSense'!E18="",AVERAGE('cloudSense'!$E$2:$E$201),'cloudSense'!E18)</f>
        <v>6</v>
      </c>
    </row>
    <row r="19" spans="1:11" x14ac:dyDescent="0.3">
      <c r="A19" s="10">
        <v>18</v>
      </c>
      <c r="B19" s="11">
        <v>45666</v>
      </c>
      <c r="C19" s="4">
        <v>550</v>
      </c>
      <c r="D19" s="4">
        <v>700</v>
      </c>
      <c r="E19" s="4">
        <v>700</v>
      </c>
      <c r="F19" s="4" t="s">
        <v>12</v>
      </c>
      <c r="G19" s="4" t="s">
        <v>13</v>
      </c>
      <c r="H19" s="4" t="str">
        <f>PROPER(TRIM(cloudSense[[#This Row],[resource_status]]))</f>
        <v>Active</v>
      </c>
      <c r="I19" s="4">
        <f>cloudSense[[#This Row],[allocated_cost]]-cloudSense[[#This Row],[actual_used_cost]]</f>
        <v>0</v>
      </c>
      <c r="J19" s="12">
        <f>((cloudSense[[#This Row],[allocated_cost]]-cloudSense[[#This Row],[actual_used_cost]])/cloudSense[[#This Row],[allocated_cost]]*100)*0.01</f>
        <v>0</v>
      </c>
      <c r="K19" s="13">
        <f>IF('cloudSense'!E19="",AVERAGE('cloudSense'!$E$2:$E$201),'cloudSense'!E19)</f>
        <v>92</v>
      </c>
    </row>
    <row r="20" spans="1:11" x14ac:dyDescent="0.3">
      <c r="A20" s="10">
        <v>19</v>
      </c>
      <c r="B20" s="11">
        <v>45667</v>
      </c>
      <c r="C20" s="4">
        <v>100</v>
      </c>
      <c r="D20" s="4">
        <v>500</v>
      </c>
      <c r="E20" s="4">
        <v>150</v>
      </c>
      <c r="F20" s="4" t="s">
        <v>9</v>
      </c>
      <c r="G20" s="4" t="s">
        <v>10</v>
      </c>
      <c r="H20" s="4" t="str">
        <f>PROPER(TRIM(cloudSense[[#This Row],[resource_status]]))</f>
        <v>Idle</v>
      </c>
      <c r="I20" s="4">
        <f>cloudSense[[#This Row],[allocated_cost]]-cloudSense[[#This Row],[actual_used_cost]]</f>
        <v>350</v>
      </c>
      <c r="J20" s="12">
        <f>((cloudSense[[#This Row],[allocated_cost]]-cloudSense[[#This Row],[actual_used_cost]])/cloudSense[[#This Row],[allocated_cost]]*100)*0.01</f>
        <v>0.70000000000000007</v>
      </c>
      <c r="K20" s="13">
        <f>IF('cloudSense'!E20="",AVERAGE('cloudSense'!$E$2:$E$201),'cloudSense'!E20)</f>
        <v>15</v>
      </c>
    </row>
    <row r="21" spans="1:11" x14ac:dyDescent="0.3">
      <c r="A21" s="10">
        <v>20</v>
      </c>
      <c r="B21" s="11">
        <v>45667</v>
      </c>
      <c r="C21" s="4">
        <v>310</v>
      </c>
      <c r="D21" s="4">
        <v>600</v>
      </c>
      <c r="E21" s="4">
        <v>570</v>
      </c>
      <c r="F21" s="4" t="s">
        <v>17</v>
      </c>
      <c r="G21" s="4" t="s">
        <v>18</v>
      </c>
      <c r="H21" s="4" t="str">
        <f>PROPER(TRIM(cloudSense[[#This Row],[resource_status]]))</f>
        <v>Active</v>
      </c>
      <c r="I21" s="4">
        <f>cloudSense[[#This Row],[allocated_cost]]-cloudSense[[#This Row],[actual_used_cost]]</f>
        <v>30</v>
      </c>
      <c r="J21" s="12">
        <f>((cloudSense[[#This Row],[allocated_cost]]-cloudSense[[#This Row],[actual_used_cost]])/cloudSense[[#This Row],[allocated_cost]]*100)*0.01</f>
        <v>0.05</v>
      </c>
      <c r="K21" s="13">
        <f>IF('cloudSense'!E21="",AVERAGE('cloudSense'!$E$2:$E$201),'cloudSense'!E21)</f>
        <v>60</v>
      </c>
    </row>
    <row r="22" spans="1:11" x14ac:dyDescent="0.3">
      <c r="A22" s="10">
        <v>21</v>
      </c>
      <c r="B22" s="11">
        <v>45668</v>
      </c>
      <c r="C22" s="4">
        <v>160</v>
      </c>
      <c r="D22" s="4">
        <v>500</v>
      </c>
      <c r="E22" s="4">
        <v>280</v>
      </c>
      <c r="F22" s="4" t="s">
        <v>9</v>
      </c>
      <c r="G22" s="4" t="s">
        <v>10</v>
      </c>
      <c r="H22" s="4" t="str">
        <f>PROPER(TRIM(cloudSense[[#This Row],[resource_status]]))</f>
        <v>Active</v>
      </c>
      <c r="I22" s="4">
        <f>cloudSense[[#This Row],[allocated_cost]]-cloudSense[[#This Row],[actual_used_cost]]</f>
        <v>220</v>
      </c>
      <c r="J22" s="12">
        <f>((cloudSense[[#This Row],[allocated_cost]]-cloudSense[[#This Row],[actual_used_cost]])/cloudSense[[#This Row],[allocated_cost]]*100)*0.01</f>
        <v>0.44</v>
      </c>
      <c r="K22" s="13">
        <f>IF('cloudSense'!E22="",AVERAGE('cloudSense'!$E$2:$E$201),'cloudSense'!E22)</f>
        <v>30</v>
      </c>
    </row>
    <row r="23" spans="1:11" x14ac:dyDescent="0.3">
      <c r="A23" s="10">
        <v>22</v>
      </c>
      <c r="B23" s="11">
        <v>45668</v>
      </c>
      <c r="C23" s="4">
        <v>430</v>
      </c>
      <c r="D23" s="4">
        <v>700</v>
      </c>
      <c r="E23" s="4">
        <v>620</v>
      </c>
      <c r="F23" s="4" t="s">
        <v>12</v>
      </c>
      <c r="G23" s="4" t="s">
        <v>13</v>
      </c>
      <c r="H23" s="4" t="str">
        <f>PROPER(TRIM(cloudSense[[#This Row],[resource_status]]))</f>
        <v>Active</v>
      </c>
      <c r="I23" s="4">
        <f>cloudSense[[#This Row],[allocated_cost]]-cloudSense[[#This Row],[actual_used_cost]]</f>
        <v>80</v>
      </c>
      <c r="J23" s="12">
        <f>((cloudSense[[#This Row],[allocated_cost]]-cloudSense[[#This Row],[actual_used_cost]])/cloudSense[[#This Row],[allocated_cost]]*100)*0.01</f>
        <v>0.1142857142857143</v>
      </c>
      <c r="K23" s="13">
        <f>IF('cloudSense'!E23="",AVERAGE('cloudSense'!$E$2:$E$201),'cloudSense'!E23)</f>
        <v>70</v>
      </c>
    </row>
    <row r="24" spans="1:11" x14ac:dyDescent="0.3">
      <c r="A24" s="10">
        <v>23</v>
      </c>
      <c r="B24" s="11">
        <v>45669</v>
      </c>
      <c r="C24" s="4">
        <v>95</v>
      </c>
      <c r="D24" s="4">
        <v>500</v>
      </c>
      <c r="E24" s="4">
        <v>100</v>
      </c>
      <c r="F24" s="4" t="s">
        <v>9</v>
      </c>
      <c r="G24" s="4" t="s">
        <v>10</v>
      </c>
      <c r="H24" s="4" t="str">
        <f>PROPER(TRIM(cloudSense[[#This Row],[resource_status]]))</f>
        <v>Idle</v>
      </c>
      <c r="I24" s="4">
        <f>cloudSense[[#This Row],[allocated_cost]]-cloudSense[[#This Row],[actual_used_cost]]</f>
        <v>400</v>
      </c>
      <c r="J24" s="12">
        <f>((cloudSense[[#This Row],[allocated_cost]]-cloudSense[[#This Row],[actual_used_cost]])/cloudSense[[#This Row],[allocated_cost]]*100)*0.01</f>
        <v>0.8</v>
      </c>
      <c r="K24" s="13">
        <f>IF('cloudSense'!E24="",AVERAGE('cloudSense'!$E$2:$E$201),'cloudSense'!E24)</f>
        <v>10</v>
      </c>
    </row>
    <row r="25" spans="1:11" x14ac:dyDescent="0.3">
      <c r="A25" s="10">
        <v>24</v>
      </c>
      <c r="B25" s="11">
        <v>45669</v>
      </c>
      <c r="C25" s="4">
        <v>290</v>
      </c>
      <c r="D25" s="4">
        <v>600</v>
      </c>
      <c r="E25" s="4">
        <v>500</v>
      </c>
      <c r="F25" s="4" t="s">
        <v>17</v>
      </c>
      <c r="G25" s="4" t="s">
        <v>18</v>
      </c>
      <c r="H25" s="4" t="str">
        <f>PROPER(TRIM(cloudSense[[#This Row],[resource_status]]))</f>
        <v>Active</v>
      </c>
      <c r="I25" s="4">
        <f>cloudSense[[#This Row],[allocated_cost]]-cloudSense[[#This Row],[actual_used_cost]]</f>
        <v>100</v>
      </c>
      <c r="J25" s="12">
        <f>((cloudSense[[#This Row],[allocated_cost]]-cloudSense[[#This Row],[actual_used_cost]])/cloudSense[[#This Row],[allocated_cost]]*100)*0.01</f>
        <v>0.16666666666666666</v>
      </c>
      <c r="K25" s="13">
        <f>IF('cloudSense'!E25="",AVERAGE('cloudSense'!$E$2:$E$201),'cloudSense'!E25)</f>
        <v>55</v>
      </c>
    </row>
    <row r="26" spans="1:11" x14ac:dyDescent="0.3">
      <c r="A26" s="10">
        <v>25</v>
      </c>
      <c r="B26" s="11">
        <v>45670</v>
      </c>
      <c r="C26" s="4">
        <v>18</v>
      </c>
      <c r="D26" s="4">
        <v>200</v>
      </c>
      <c r="E26" s="4">
        <v>45</v>
      </c>
      <c r="F26" s="4" t="s">
        <v>28</v>
      </c>
      <c r="G26" s="4" t="s">
        <v>20</v>
      </c>
      <c r="H26" s="4" t="str">
        <f>PROPER(TRIM(cloudSense[[#This Row],[resource_status]]))</f>
        <v>Idle</v>
      </c>
      <c r="I26" s="4">
        <f>cloudSense[[#This Row],[allocated_cost]]-cloudSense[[#This Row],[actual_used_cost]]</f>
        <v>155</v>
      </c>
      <c r="J26" s="12">
        <f>((cloudSense[[#This Row],[allocated_cost]]-cloudSense[[#This Row],[actual_used_cost]])/cloudSense[[#This Row],[allocated_cost]]*100)*0.01</f>
        <v>0.77500000000000002</v>
      </c>
      <c r="K26" s="13">
        <f>IF('cloudSense'!E26="",AVERAGE('cloudSense'!$E$2:$E$201),'cloudSense'!E26)</f>
        <v>4</v>
      </c>
    </row>
    <row r="27" spans="1:11" x14ac:dyDescent="0.3">
      <c r="A27" s="10">
        <v>26</v>
      </c>
      <c r="B27" s="11">
        <v>45670</v>
      </c>
      <c r="C27" s="4">
        <v>480</v>
      </c>
      <c r="D27" s="4">
        <v>700</v>
      </c>
      <c r="E27" s="4">
        <v>650</v>
      </c>
      <c r="F27" s="4" t="s">
        <v>12</v>
      </c>
      <c r="G27" s="4" t="s">
        <v>13</v>
      </c>
      <c r="H27" s="4" t="str">
        <f>PROPER(TRIM(cloudSense[[#This Row],[resource_status]]))</f>
        <v>Active</v>
      </c>
      <c r="I27" s="4">
        <f>cloudSense[[#This Row],[allocated_cost]]-cloudSense[[#This Row],[actual_used_cost]]</f>
        <v>50</v>
      </c>
      <c r="J27" s="12">
        <f>((cloudSense[[#This Row],[allocated_cost]]-cloudSense[[#This Row],[actual_used_cost]])/cloudSense[[#This Row],[allocated_cost]]*100)*0.01</f>
        <v>7.1428571428571425E-2</v>
      </c>
      <c r="K27" s="13">
        <f>IF('cloudSense'!E27="",AVERAGE('cloudSense'!$E$2:$E$201),'cloudSense'!E27)</f>
        <v>80</v>
      </c>
    </row>
    <row r="28" spans="1:11" x14ac:dyDescent="0.3">
      <c r="A28" s="10">
        <v>27</v>
      </c>
      <c r="B28" s="11">
        <v>45671</v>
      </c>
      <c r="C28" s="4">
        <v>170</v>
      </c>
      <c r="D28" s="4">
        <v>500</v>
      </c>
      <c r="E28" s="4">
        <v>320</v>
      </c>
      <c r="F28" s="4" t="s">
        <v>9</v>
      </c>
      <c r="G28" s="4" t="s">
        <v>10</v>
      </c>
      <c r="H28" s="4" t="str">
        <f>PROPER(TRIM(cloudSense[[#This Row],[resource_status]]))</f>
        <v>Active</v>
      </c>
      <c r="I28" s="4">
        <f>cloudSense[[#This Row],[allocated_cost]]-cloudSense[[#This Row],[actual_used_cost]]</f>
        <v>180</v>
      </c>
      <c r="J28" s="12">
        <f>((cloudSense[[#This Row],[allocated_cost]]-cloudSense[[#This Row],[actual_used_cost]])/cloudSense[[#This Row],[allocated_cost]]*100)*0.01</f>
        <v>0.36</v>
      </c>
      <c r="K28" s="13">
        <f>IF('cloudSense'!E28="",AVERAGE('cloudSense'!$E$2:$E$201),'cloudSense'!E28)</f>
        <v>35</v>
      </c>
    </row>
    <row r="29" spans="1:11" x14ac:dyDescent="0.3">
      <c r="A29" s="10">
        <v>28</v>
      </c>
      <c r="B29" s="11">
        <v>45671</v>
      </c>
      <c r="C29" s="4">
        <v>210</v>
      </c>
      <c r="D29" s="4">
        <v>600</v>
      </c>
      <c r="E29" s="4">
        <v>160</v>
      </c>
      <c r="F29" s="4" t="s">
        <v>17</v>
      </c>
      <c r="G29" s="4" t="s">
        <v>18</v>
      </c>
      <c r="H29" s="4" t="str">
        <f>PROPER(TRIM(cloudSense[[#This Row],[resource_status]]))</f>
        <v>Idle</v>
      </c>
      <c r="I29" s="4">
        <f>cloudSense[[#This Row],[allocated_cost]]-cloudSense[[#This Row],[actual_used_cost]]</f>
        <v>440</v>
      </c>
      <c r="J29" s="12">
        <f>((cloudSense[[#This Row],[allocated_cost]]-cloudSense[[#This Row],[actual_used_cost]])/cloudSense[[#This Row],[allocated_cost]]*100)*0.01</f>
        <v>0.73333333333333328</v>
      </c>
      <c r="K29" s="13">
        <f>IF('cloudSense'!E29="",AVERAGE('cloudSense'!$E$2:$E$201),'cloudSense'!E29)</f>
        <v>20</v>
      </c>
    </row>
    <row r="30" spans="1:11" x14ac:dyDescent="0.3">
      <c r="A30" s="10">
        <v>29</v>
      </c>
      <c r="B30" s="11">
        <v>45672</v>
      </c>
      <c r="C30" s="4">
        <v>260</v>
      </c>
      <c r="D30" s="4">
        <v>500</v>
      </c>
      <c r="E30" s="4">
        <v>470</v>
      </c>
      <c r="F30" s="4" t="s">
        <v>9</v>
      </c>
      <c r="G30" s="4" t="s">
        <v>10</v>
      </c>
      <c r="H30" s="4" t="str">
        <f>PROPER(TRIM(cloudSense[[#This Row],[resource_status]]))</f>
        <v>Active</v>
      </c>
      <c r="I30" s="4">
        <f>cloudSense[[#This Row],[allocated_cost]]-cloudSense[[#This Row],[actual_used_cost]]</f>
        <v>30</v>
      </c>
      <c r="J30" s="12">
        <f>((cloudSense[[#This Row],[allocated_cost]]-cloudSense[[#This Row],[actual_used_cost]])/cloudSense[[#This Row],[allocated_cost]]*100)*0.01</f>
        <v>0.06</v>
      </c>
      <c r="K30" s="13">
        <f>IF('cloudSense'!E30="",AVERAGE('cloudSense'!$E$2:$E$201),'cloudSense'!E30)</f>
        <v>85</v>
      </c>
    </row>
    <row r="31" spans="1:11" x14ac:dyDescent="0.3">
      <c r="A31" s="10">
        <v>30</v>
      </c>
      <c r="B31" s="11">
        <v>45672</v>
      </c>
      <c r="C31" s="4">
        <v>510</v>
      </c>
      <c r="D31" s="4">
        <v>700</v>
      </c>
      <c r="E31" s="4">
        <v>420</v>
      </c>
      <c r="F31" s="4" t="s">
        <v>12</v>
      </c>
      <c r="G31" s="4" t="s">
        <v>13</v>
      </c>
      <c r="H31" s="4" t="str">
        <f>PROPER(TRIM(cloudSense[[#This Row],[resource_status]]))</f>
        <v>Active</v>
      </c>
      <c r="I31" s="4">
        <f>cloudSense[[#This Row],[allocated_cost]]-cloudSense[[#This Row],[actual_used_cost]]</f>
        <v>280</v>
      </c>
      <c r="J31" s="12">
        <f>((cloudSense[[#This Row],[allocated_cost]]-cloudSense[[#This Row],[actual_used_cost]])/cloudSense[[#This Row],[allocated_cost]]*100)*0.01</f>
        <v>0.4</v>
      </c>
      <c r="K31" s="13">
        <f>IF('cloudSense'!E31="",AVERAGE('cloudSense'!$E$2:$E$201),'cloudSense'!E31)</f>
        <v>50</v>
      </c>
    </row>
    <row r="32" spans="1:11" x14ac:dyDescent="0.3">
      <c r="A32" s="10">
        <v>31</v>
      </c>
      <c r="B32" s="11">
        <v>45673</v>
      </c>
      <c r="C32" s="4">
        <v>85</v>
      </c>
      <c r="D32" s="4">
        <v>500</v>
      </c>
      <c r="E32" s="4">
        <v>70</v>
      </c>
      <c r="F32" s="4" t="s">
        <v>9</v>
      </c>
      <c r="G32" s="4" t="s">
        <v>10</v>
      </c>
      <c r="H32" s="4" t="str">
        <f>PROPER(TRIM(cloudSense[[#This Row],[resource_status]]))</f>
        <v>Idle</v>
      </c>
      <c r="I32" s="4">
        <f>cloudSense[[#This Row],[allocated_cost]]-cloudSense[[#This Row],[actual_used_cost]]</f>
        <v>430</v>
      </c>
      <c r="J32" s="12">
        <f>((cloudSense[[#This Row],[allocated_cost]]-cloudSense[[#This Row],[actual_used_cost]])/cloudSense[[#This Row],[allocated_cost]]*100)*0.01</f>
        <v>0.86</v>
      </c>
      <c r="K32" s="13">
        <f>IF('cloudSense'!E32="",AVERAGE('cloudSense'!$E$2:$E$201),'cloudSense'!E32)</f>
        <v>9</v>
      </c>
    </row>
    <row r="33" spans="1:11" x14ac:dyDescent="0.3">
      <c r="A33" s="10">
        <v>32</v>
      </c>
      <c r="B33" s="11">
        <v>45673</v>
      </c>
      <c r="C33" s="4">
        <v>360</v>
      </c>
      <c r="D33" s="4">
        <v>600</v>
      </c>
      <c r="E33" s="4">
        <v>595</v>
      </c>
      <c r="F33" s="4" t="s">
        <v>17</v>
      </c>
      <c r="G33" s="4" t="s">
        <v>20</v>
      </c>
      <c r="H33" s="4" t="str">
        <f>PROPER(TRIM(cloudSense[[#This Row],[resource_status]]))</f>
        <v>Active</v>
      </c>
      <c r="I33" s="4">
        <f>cloudSense[[#This Row],[allocated_cost]]-cloudSense[[#This Row],[actual_used_cost]]</f>
        <v>5</v>
      </c>
      <c r="J33" s="12">
        <f>((cloudSense[[#This Row],[allocated_cost]]-cloudSense[[#This Row],[actual_used_cost]])/cloudSense[[#This Row],[allocated_cost]]*100)*0.01</f>
        <v>8.3333333333333332E-3</v>
      </c>
      <c r="K33" s="13">
        <f>IF('cloudSense'!E33="",AVERAGE('cloudSense'!$E$2:$E$201),'cloudSense'!E33)</f>
        <v>75</v>
      </c>
    </row>
    <row r="34" spans="1:11" x14ac:dyDescent="0.3">
      <c r="A34" s="10">
        <v>33</v>
      </c>
      <c r="B34" s="11">
        <v>45674</v>
      </c>
      <c r="C34" s="4">
        <v>12</v>
      </c>
      <c r="D34" s="4">
        <v>200</v>
      </c>
      <c r="E34" s="4">
        <v>35</v>
      </c>
      <c r="F34" s="4" t="s">
        <v>28</v>
      </c>
      <c r="G34" s="4" t="s">
        <v>13</v>
      </c>
      <c r="H34" s="4" t="str">
        <f>PROPER(TRIM(cloudSense[[#This Row],[resource_status]]))</f>
        <v>Idle</v>
      </c>
      <c r="I34" s="4">
        <f>cloudSense[[#This Row],[allocated_cost]]-cloudSense[[#This Row],[actual_used_cost]]</f>
        <v>165</v>
      </c>
      <c r="J34" s="12">
        <f>((cloudSense[[#This Row],[allocated_cost]]-cloudSense[[#This Row],[actual_used_cost]])/cloudSense[[#This Row],[allocated_cost]]*100)*0.01</f>
        <v>0.82500000000000007</v>
      </c>
      <c r="K34" s="13">
        <f>IF('cloudSense'!E34="",AVERAGE('cloudSense'!$E$2:$E$201),'cloudSense'!E34)</f>
        <v>2</v>
      </c>
    </row>
    <row r="35" spans="1:11" x14ac:dyDescent="0.3">
      <c r="A35" s="10">
        <v>34</v>
      </c>
      <c r="B35" s="11">
        <v>45674</v>
      </c>
      <c r="C35" s="4">
        <v>530</v>
      </c>
      <c r="D35" s="4">
        <v>700</v>
      </c>
      <c r="E35" s="4">
        <v>690</v>
      </c>
      <c r="F35" s="4" t="s">
        <v>12</v>
      </c>
      <c r="G35" s="4" t="s">
        <v>13</v>
      </c>
      <c r="H35" s="4" t="str">
        <f>PROPER(TRIM(cloudSense[[#This Row],[resource_status]]))</f>
        <v>Active</v>
      </c>
      <c r="I35" s="4">
        <f>cloudSense[[#This Row],[allocated_cost]]-cloudSense[[#This Row],[actual_used_cost]]</f>
        <v>10</v>
      </c>
      <c r="J35" s="12">
        <f>((cloudSense[[#This Row],[allocated_cost]]-cloudSense[[#This Row],[actual_used_cost]])/cloudSense[[#This Row],[allocated_cost]]*100)*0.01</f>
        <v>1.4285714285714287E-2</v>
      </c>
      <c r="K35" s="13">
        <f>IF('cloudSense'!E35="",AVERAGE('cloudSense'!$E$2:$E$201),'cloudSense'!E35)</f>
        <v>90</v>
      </c>
    </row>
    <row r="36" spans="1:11" x14ac:dyDescent="0.3">
      <c r="A36" s="10">
        <v>35</v>
      </c>
      <c r="B36" s="11">
        <v>45675</v>
      </c>
      <c r="C36" s="4">
        <v>145</v>
      </c>
      <c r="D36" s="4">
        <v>500</v>
      </c>
      <c r="E36" s="4">
        <v>270</v>
      </c>
      <c r="F36" s="4" t="s">
        <v>9</v>
      </c>
      <c r="G36" s="4" t="s">
        <v>10</v>
      </c>
      <c r="H36" s="4" t="str">
        <f>PROPER(TRIM(cloudSense[[#This Row],[resource_status]]))</f>
        <v>Active</v>
      </c>
      <c r="I36" s="4">
        <f>cloudSense[[#This Row],[allocated_cost]]-cloudSense[[#This Row],[actual_used_cost]]</f>
        <v>230</v>
      </c>
      <c r="J36" s="12">
        <f>((cloudSense[[#This Row],[allocated_cost]]-cloudSense[[#This Row],[actual_used_cost]])/cloudSense[[#This Row],[allocated_cost]]*100)*0.01</f>
        <v>0.46</v>
      </c>
      <c r="K36" s="13">
        <f>IF('cloudSense'!E36="",AVERAGE('cloudSense'!$E$2:$E$201),'cloudSense'!E36)</f>
        <v>28</v>
      </c>
    </row>
    <row r="37" spans="1:11" x14ac:dyDescent="0.3">
      <c r="A37" s="10">
        <v>36</v>
      </c>
      <c r="B37" s="11">
        <v>45675</v>
      </c>
      <c r="C37" s="4">
        <v>275</v>
      </c>
      <c r="D37" s="4">
        <v>600</v>
      </c>
      <c r="E37" s="4">
        <v>390</v>
      </c>
      <c r="F37" s="4" t="s">
        <v>17</v>
      </c>
      <c r="G37" s="4" t="s">
        <v>18</v>
      </c>
      <c r="H37" s="4" t="str">
        <f>PROPER(TRIM(cloudSense[[#This Row],[resource_status]]))</f>
        <v>Idle</v>
      </c>
      <c r="I37" s="4">
        <f>cloudSense[[#This Row],[allocated_cost]]-cloudSense[[#This Row],[actual_used_cost]]</f>
        <v>210</v>
      </c>
      <c r="J37" s="12">
        <f>((cloudSense[[#This Row],[allocated_cost]]-cloudSense[[#This Row],[actual_used_cost]])/cloudSense[[#This Row],[allocated_cost]]*100)*0.01</f>
        <v>0.35000000000000003</v>
      </c>
      <c r="K37" s="13">
        <f>IF('cloudSense'!E37="",AVERAGE('cloudSense'!$E$2:$E$201),'cloudSense'!E37)</f>
        <v>47.111111111111114</v>
      </c>
    </row>
    <row r="38" spans="1:11" x14ac:dyDescent="0.3">
      <c r="A38" s="10">
        <v>37</v>
      </c>
      <c r="B38" s="11">
        <v>45676</v>
      </c>
      <c r="C38" s="4">
        <v>28</v>
      </c>
      <c r="D38" s="4">
        <v>200</v>
      </c>
      <c r="E38" s="4">
        <v>60</v>
      </c>
      <c r="F38" s="4" t="s">
        <v>28</v>
      </c>
      <c r="G38" s="4" t="s">
        <v>20</v>
      </c>
      <c r="H38" s="4" t="str">
        <f>PROPER(TRIM(cloudSense[[#This Row],[resource_status]]))</f>
        <v>Idle</v>
      </c>
      <c r="I38" s="4">
        <f>cloudSense[[#This Row],[allocated_cost]]-cloudSense[[#This Row],[actual_used_cost]]</f>
        <v>140</v>
      </c>
      <c r="J38" s="12">
        <f>((cloudSense[[#This Row],[allocated_cost]]-cloudSense[[#This Row],[actual_used_cost]])/cloudSense[[#This Row],[allocated_cost]]*100)*0.01</f>
        <v>0.70000000000000007</v>
      </c>
      <c r="K38" s="13">
        <f>IF('cloudSense'!E38="",AVERAGE('cloudSense'!$E$2:$E$201),'cloudSense'!E38)</f>
        <v>7</v>
      </c>
    </row>
    <row r="39" spans="1:11" x14ac:dyDescent="0.3">
      <c r="A39" s="10">
        <v>38</v>
      </c>
      <c r="B39" s="11">
        <v>45676</v>
      </c>
      <c r="C39" s="4">
        <v>560</v>
      </c>
      <c r="D39" s="4">
        <v>700</v>
      </c>
      <c r="E39" s="4">
        <v>700</v>
      </c>
      <c r="F39" s="4" t="s">
        <v>12</v>
      </c>
      <c r="G39" s="4" t="s">
        <v>13</v>
      </c>
      <c r="H39" s="4" t="str">
        <f>PROPER(TRIM(cloudSense[[#This Row],[resource_status]]))</f>
        <v>Active</v>
      </c>
      <c r="I39" s="4">
        <f>cloudSense[[#This Row],[allocated_cost]]-cloudSense[[#This Row],[actual_used_cost]]</f>
        <v>0</v>
      </c>
      <c r="J39" s="12">
        <f>((cloudSense[[#This Row],[allocated_cost]]-cloudSense[[#This Row],[actual_used_cost]])/cloudSense[[#This Row],[allocated_cost]]*100)*0.01</f>
        <v>0</v>
      </c>
      <c r="K39" s="13">
        <f>IF('cloudSense'!E39="",AVERAGE('cloudSense'!$E$2:$E$201),'cloudSense'!E39)</f>
        <v>93</v>
      </c>
    </row>
    <row r="40" spans="1:11" x14ac:dyDescent="0.3">
      <c r="A40" s="10">
        <v>39</v>
      </c>
      <c r="B40" s="11">
        <v>45677</v>
      </c>
      <c r="C40" s="4">
        <v>105</v>
      </c>
      <c r="D40" s="4">
        <v>500</v>
      </c>
      <c r="E40" s="4">
        <v>160</v>
      </c>
      <c r="F40" s="4" t="s">
        <v>9</v>
      </c>
      <c r="G40" s="4" t="s">
        <v>10</v>
      </c>
      <c r="H40" s="4" t="str">
        <f>PROPER(TRIM(cloudSense[[#This Row],[resource_status]]))</f>
        <v>Idle</v>
      </c>
      <c r="I40" s="4">
        <f>cloudSense[[#This Row],[allocated_cost]]-cloudSense[[#This Row],[actual_used_cost]]</f>
        <v>340</v>
      </c>
      <c r="J40" s="12">
        <f>((cloudSense[[#This Row],[allocated_cost]]-cloudSense[[#This Row],[actual_used_cost]])/cloudSense[[#This Row],[allocated_cost]]*100)*0.01</f>
        <v>0.68</v>
      </c>
      <c r="K40" s="13">
        <f>IF('cloudSense'!E40="",AVERAGE('cloudSense'!$E$2:$E$201),'cloudSense'!E40)</f>
        <v>14</v>
      </c>
    </row>
    <row r="41" spans="1:11" x14ac:dyDescent="0.3">
      <c r="A41" s="10">
        <v>40</v>
      </c>
      <c r="B41" s="11">
        <v>45677</v>
      </c>
      <c r="C41" s="4">
        <v>315</v>
      </c>
      <c r="D41" s="4">
        <v>600</v>
      </c>
      <c r="E41" s="4">
        <v>575</v>
      </c>
      <c r="F41" s="4" t="s">
        <v>17</v>
      </c>
      <c r="G41" s="4" t="s">
        <v>18</v>
      </c>
      <c r="H41" s="4" t="str">
        <f>PROPER(TRIM(cloudSense[[#This Row],[resource_status]]))</f>
        <v>Active</v>
      </c>
      <c r="I41" s="4">
        <f>cloudSense[[#This Row],[allocated_cost]]-cloudSense[[#This Row],[actual_used_cost]]</f>
        <v>25</v>
      </c>
      <c r="J41" s="12">
        <f>((cloudSense[[#This Row],[allocated_cost]]-cloudSense[[#This Row],[actual_used_cost]])/cloudSense[[#This Row],[allocated_cost]]*100)*0.01</f>
        <v>4.1666666666666664E-2</v>
      </c>
      <c r="K41" s="13">
        <f>IF('cloudSense'!E41="",AVERAGE('cloudSense'!$E$2:$E$201),'cloudSense'!E41)</f>
        <v>62</v>
      </c>
    </row>
    <row r="42" spans="1:11" x14ac:dyDescent="0.3">
      <c r="A42" s="10">
        <v>41</v>
      </c>
      <c r="B42" s="11">
        <v>45678</v>
      </c>
      <c r="C42" s="4">
        <v>165</v>
      </c>
      <c r="D42" s="4">
        <v>500</v>
      </c>
      <c r="E42" s="4">
        <v>285</v>
      </c>
      <c r="F42" s="4" t="s">
        <v>9</v>
      </c>
      <c r="G42" s="4" t="s">
        <v>10</v>
      </c>
      <c r="H42" s="4" t="str">
        <f>PROPER(TRIM(cloudSense[[#This Row],[resource_status]]))</f>
        <v>Active</v>
      </c>
      <c r="I42" s="4">
        <f>cloudSense[[#This Row],[allocated_cost]]-cloudSense[[#This Row],[actual_used_cost]]</f>
        <v>215</v>
      </c>
      <c r="J42" s="12">
        <f>((cloudSense[[#This Row],[allocated_cost]]-cloudSense[[#This Row],[actual_used_cost]])/cloudSense[[#This Row],[allocated_cost]]*100)*0.01</f>
        <v>0.43</v>
      </c>
      <c r="K42" s="13">
        <f>IF('cloudSense'!E42="",AVERAGE('cloudSense'!$E$2:$E$201),'cloudSense'!E42)</f>
        <v>32</v>
      </c>
    </row>
    <row r="43" spans="1:11" x14ac:dyDescent="0.3">
      <c r="A43" s="10">
        <v>42</v>
      </c>
      <c r="B43" s="11">
        <v>45678</v>
      </c>
      <c r="C43" s="4">
        <v>440</v>
      </c>
      <c r="D43" s="4">
        <v>700</v>
      </c>
      <c r="E43" s="4">
        <v>630</v>
      </c>
      <c r="F43" s="4" t="s">
        <v>12</v>
      </c>
      <c r="G43" s="4" t="s">
        <v>13</v>
      </c>
      <c r="H43" s="4" t="str">
        <f>PROPER(TRIM(cloudSense[[#This Row],[resource_status]]))</f>
        <v>Active</v>
      </c>
      <c r="I43" s="4">
        <f>cloudSense[[#This Row],[allocated_cost]]-cloudSense[[#This Row],[actual_used_cost]]</f>
        <v>70</v>
      </c>
      <c r="J43" s="12">
        <f>((cloudSense[[#This Row],[allocated_cost]]-cloudSense[[#This Row],[actual_used_cost]])/cloudSense[[#This Row],[allocated_cost]]*100)*0.01</f>
        <v>0.1</v>
      </c>
      <c r="K43" s="13">
        <f>IF('cloudSense'!E43="",AVERAGE('cloudSense'!$E$2:$E$201),'cloudSense'!E43)</f>
        <v>72</v>
      </c>
    </row>
    <row r="44" spans="1:11" x14ac:dyDescent="0.3">
      <c r="A44" s="10">
        <v>43</v>
      </c>
      <c r="B44" s="11">
        <v>45679</v>
      </c>
      <c r="C44" s="4">
        <v>98</v>
      </c>
      <c r="D44" s="4">
        <v>500</v>
      </c>
      <c r="E44" s="4">
        <v>110</v>
      </c>
      <c r="F44" s="4" t="s">
        <v>9</v>
      </c>
      <c r="G44" s="4" t="s">
        <v>10</v>
      </c>
      <c r="H44" s="4" t="str">
        <f>PROPER(TRIM(cloudSense[[#This Row],[resource_status]]))</f>
        <v>Idle</v>
      </c>
      <c r="I44" s="4">
        <f>cloudSense[[#This Row],[allocated_cost]]-cloudSense[[#This Row],[actual_used_cost]]</f>
        <v>390</v>
      </c>
      <c r="J44" s="12">
        <f>((cloudSense[[#This Row],[allocated_cost]]-cloudSense[[#This Row],[actual_used_cost]])/cloudSense[[#This Row],[allocated_cost]]*100)*0.01</f>
        <v>0.78</v>
      </c>
      <c r="K44" s="13">
        <f>IF('cloudSense'!E44="",AVERAGE('cloudSense'!$E$2:$E$201),'cloudSense'!E44)</f>
        <v>11</v>
      </c>
    </row>
    <row r="45" spans="1:11" x14ac:dyDescent="0.3">
      <c r="A45" s="10">
        <v>44</v>
      </c>
      <c r="B45" s="11">
        <v>45679</v>
      </c>
      <c r="C45" s="4">
        <v>295</v>
      </c>
      <c r="D45" s="4">
        <v>600</v>
      </c>
      <c r="E45" s="4">
        <v>505</v>
      </c>
      <c r="F45" s="4" t="s">
        <v>17</v>
      </c>
      <c r="G45" s="4" t="s">
        <v>18</v>
      </c>
      <c r="H45" s="4" t="str">
        <f>PROPER(TRIM(cloudSense[[#This Row],[resource_status]]))</f>
        <v>Active</v>
      </c>
      <c r="I45" s="4">
        <f>cloudSense[[#This Row],[allocated_cost]]-cloudSense[[#This Row],[actual_used_cost]]</f>
        <v>95</v>
      </c>
      <c r="J45" s="12">
        <f>((cloudSense[[#This Row],[allocated_cost]]-cloudSense[[#This Row],[actual_used_cost]])/cloudSense[[#This Row],[allocated_cost]]*100)*0.01</f>
        <v>0.15833333333333333</v>
      </c>
      <c r="K45" s="13">
        <f>IF('cloudSense'!E45="",AVERAGE('cloudSense'!$E$2:$E$201),'cloudSense'!E45)</f>
        <v>58</v>
      </c>
    </row>
    <row r="46" spans="1:11" x14ac:dyDescent="0.3">
      <c r="A46" s="10">
        <v>45</v>
      </c>
      <c r="B46" s="11">
        <v>45680</v>
      </c>
      <c r="C46" s="4">
        <v>20</v>
      </c>
      <c r="D46" s="4">
        <v>200</v>
      </c>
      <c r="E46" s="4">
        <v>50</v>
      </c>
      <c r="F46" s="4" t="s">
        <v>28</v>
      </c>
      <c r="G46" s="4" t="s">
        <v>20</v>
      </c>
      <c r="H46" s="4" t="str">
        <f>PROPER(TRIM(cloudSense[[#This Row],[resource_status]]))</f>
        <v>Idle</v>
      </c>
      <c r="I46" s="4">
        <f>cloudSense[[#This Row],[allocated_cost]]-cloudSense[[#This Row],[actual_used_cost]]</f>
        <v>150</v>
      </c>
      <c r="J46" s="12">
        <f>((cloudSense[[#This Row],[allocated_cost]]-cloudSense[[#This Row],[actual_used_cost]])/cloudSense[[#This Row],[allocated_cost]]*100)*0.01</f>
        <v>0.75</v>
      </c>
      <c r="K46" s="13">
        <f>IF('cloudSense'!E46="",AVERAGE('cloudSense'!$E$2:$E$201),'cloudSense'!E46)</f>
        <v>5</v>
      </c>
    </row>
    <row r="47" spans="1:11" x14ac:dyDescent="0.3">
      <c r="A47" s="10">
        <v>46</v>
      </c>
      <c r="B47" s="11">
        <v>45680</v>
      </c>
      <c r="C47" s="4">
        <v>485</v>
      </c>
      <c r="D47" s="4">
        <v>700</v>
      </c>
      <c r="E47" s="4">
        <v>655</v>
      </c>
      <c r="F47" s="4" t="s">
        <v>12</v>
      </c>
      <c r="G47" s="4" t="s">
        <v>13</v>
      </c>
      <c r="H47" s="4" t="str">
        <f>PROPER(TRIM(cloudSense[[#This Row],[resource_status]]))</f>
        <v>Active</v>
      </c>
      <c r="I47" s="4">
        <f>cloudSense[[#This Row],[allocated_cost]]-cloudSense[[#This Row],[actual_used_cost]]</f>
        <v>45</v>
      </c>
      <c r="J47" s="12">
        <f>((cloudSense[[#This Row],[allocated_cost]]-cloudSense[[#This Row],[actual_used_cost]])/cloudSense[[#This Row],[allocated_cost]]*100)*0.01</f>
        <v>6.4285714285714279E-2</v>
      </c>
      <c r="K47" s="13">
        <f>IF('cloudSense'!E47="",AVERAGE('cloudSense'!$E$2:$E$201),'cloudSense'!E47)</f>
        <v>82</v>
      </c>
    </row>
    <row r="48" spans="1:11" x14ac:dyDescent="0.3">
      <c r="A48" s="10">
        <v>47</v>
      </c>
      <c r="B48" s="11">
        <v>45681</v>
      </c>
      <c r="C48" s="4">
        <v>175</v>
      </c>
      <c r="D48" s="4">
        <v>500</v>
      </c>
      <c r="E48" s="4">
        <v>330</v>
      </c>
      <c r="F48" s="4" t="s">
        <v>9</v>
      </c>
      <c r="G48" s="4" t="s">
        <v>10</v>
      </c>
      <c r="H48" s="4" t="str">
        <f>PROPER(TRIM(cloudSense[[#This Row],[resource_status]]))</f>
        <v>Active</v>
      </c>
      <c r="I48" s="4">
        <f>cloudSense[[#This Row],[allocated_cost]]-cloudSense[[#This Row],[actual_used_cost]]</f>
        <v>170</v>
      </c>
      <c r="J48" s="12">
        <f>((cloudSense[[#This Row],[allocated_cost]]-cloudSense[[#This Row],[actual_used_cost]])/cloudSense[[#This Row],[allocated_cost]]*100)*0.01</f>
        <v>0.34</v>
      </c>
      <c r="K48" s="13">
        <f>IF('cloudSense'!E48="",AVERAGE('cloudSense'!$E$2:$E$201),'cloudSense'!E48)</f>
        <v>37</v>
      </c>
    </row>
    <row r="49" spans="1:11" x14ac:dyDescent="0.3">
      <c r="A49" s="10">
        <v>48</v>
      </c>
      <c r="B49" s="11">
        <v>45681</v>
      </c>
      <c r="C49" s="4">
        <v>215</v>
      </c>
      <c r="D49" s="4">
        <v>600</v>
      </c>
      <c r="E49" s="4">
        <v>170</v>
      </c>
      <c r="F49" s="4" t="s">
        <v>17</v>
      </c>
      <c r="G49" s="4" t="s">
        <v>18</v>
      </c>
      <c r="H49" s="4" t="str">
        <f>PROPER(TRIM(cloudSense[[#This Row],[resource_status]]))</f>
        <v>Idle</v>
      </c>
      <c r="I49" s="4">
        <f>cloudSense[[#This Row],[allocated_cost]]-cloudSense[[#This Row],[actual_used_cost]]</f>
        <v>430</v>
      </c>
      <c r="J49" s="12">
        <f>((cloudSense[[#This Row],[allocated_cost]]-cloudSense[[#This Row],[actual_used_cost]])/cloudSense[[#This Row],[allocated_cost]]*100)*0.01</f>
        <v>0.71666666666666667</v>
      </c>
      <c r="K49" s="13">
        <f>IF('cloudSense'!E49="",AVERAGE('cloudSense'!$E$2:$E$201),'cloudSense'!E49)</f>
        <v>22</v>
      </c>
    </row>
    <row r="50" spans="1:11" x14ac:dyDescent="0.3">
      <c r="A50" s="10">
        <v>49</v>
      </c>
      <c r="B50" s="11">
        <v>45682</v>
      </c>
      <c r="C50" s="4">
        <v>265</v>
      </c>
      <c r="D50" s="4">
        <v>500</v>
      </c>
      <c r="E50" s="4">
        <v>475</v>
      </c>
      <c r="F50" s="4" t="s">
        <v>9</v>
      </c>
      <c r="G50" s="4" t="s">
        <v>10</v>
      </c>
      <c r="H50" s="4" t="str">
        <f>PROPER(TRIM(cloudSense[[#This Row],[resource_status]]))</f>
        <v>Active</v>
      </c>
      <c r="I50" s="4">
        <f>cloudSense[[#This Row],[allocated_cost]]-cloudSense[[#This Row],[actual_used_cost]]</f>
        <v>25</v>
      </c>
      <c r="J50" s="12">
        <f>((cloudSense[[#This Row],[allocated_cost]]-cloudSense[[#This Row],[actual_used_cost]])/cloudSense[[#This Row],[allocated_cost]]*100)*0.01</f>
        <v>0.05</v>
      </c>
      <c r="K50" s="13">
        <f>IF('cloudSense'!E50="",AVERAGE('cloudSense'!$E$2:$E$201),'cloudSense'!E50)</f>
        <v>88</v>
      </c>
    </row>
    <row r="51" spans="1:11" x14ac:dyDescent="0.3">
      <c r="A51" s="10">
        <v>50</v>
      </c>
      <c r="B51" s="11">
        <v>45682</v>
      </c>
      <c r="C51" s="4">
        <v>515</v>
      </c>
      <c r="D51" s="4">
        <v>700</v>
      </c>
      <c r="E51" s="4">
        <v>430</v>
      </c>
      <c r="F51" s="4" t="s">
        <v>12</v>
      </c>
      <c r="G51" s="4" t="s">
        <v>13</v>
      </c>
      <c r="H51" s="4" t="str">
        <f>PROPER(TRIM(cloudSense[[#This Row],[resource_status]]))</f>
        <v>Active</v>
      </c>
      <c r="I51" s="4">
        <f>cloudSense[[#This Row],[allocated_cost]]-cloudSense[[#This Row],[actual_used_cost]]</f>
        <v>270</v>
      </c>
      <c r="J51" s="12">
        <f>((cloudSense[[#This Row],[allocated_cost]]-cloudSense[[#This Row],[actual_used_cost]])/cloudSense[[#This Row],[allocated_cost]]*100)*0.01</f>
        <v>0.38571428571428579</v>
      </c>
      <c r="K51" s="13">
        <f>IF('cloudSense'!E51="",AVERAGE('cloudSense'!$E$2:$E$201),'cloudSense'!E51)</f>
        <v>53</v>
      </c>
    </row>
    <row r="52" spans="1:11" x14ac:dyDescent="0.3">
      <c r="A52" s="10">
        <v>51</v>
      </c>
      <c r="B52" s="11">
        <v>45683</v>
      </c>
      <c r="C52" s="4">
        <v>90</v>
      </c>
      <c r="D52" s="4">
        <v>500</v>
      </c>
      <c r="E52" s="4">
        <v>95</v>
      </c>
      <c r="F52" s="4" t="s">
        <v>9</v>
      </c>
      <c r="G52" s="4" t="s">
        <v>10</v>
      </c>
      <c r="H52" s="4" t="str">
        <f>PROPER(TRIM(cloudSense[[#This Row],[resource_status]]))</f>
        <v>Idle</v>
      </c>
      <c r="I52" s="4">
        <f>cloudSense[[#This Row],[allocated_cost]]-cloudSense[[#This Row],[actual_used_cost]]</f>
        <v>405</v>
      </c>
      <c r="J52" s="12">
        <f>((cloudSense[[#This Row],[allocated_cost]]-cloudSense[[#This Row],[actual_used_cost]])/cloudSense[[#This Row],[allocated_cost]]*100)*0.01</f>
        <v>0.81</v>
      </c>
      <c r="K52" s="13">
        <f>IF('cloudSense'!E52="",AVERAGE('cloudSense'!$E$2:$E$201),'cloudSense'!E52)</f>
        <v>10</v>
      </c>
    </row>
    <row r="53" spans="1:11" x14ac:dyDescent="0.3">
      <c r="A53" s="10">
        <v>52</v>
      </c>
      <c r="B53" s="11">
        <v>45683</v>
      </c>
      <c r="C53" s="4">
        <v>370</v>
      </c>
      <c r="D53" s="4">
        <v>600</v>
      </c>
      <c r="E53" s="4">
        <v>598</v>
      </c>
      <c r="F53" s="4" t="s">
        <v>17</v>
      </c>
      <c r="G53" s="4" t="s">
        <v>20</v>
      </c>
      <c r="H53" s="4" t="str">
        <f>PROPER(TRIM(cloudSense[[#This Row],[resource_status]]))</f>
        <v>Active</v>
      </c>
      <c r="I53" s="4">
        <f>cloudSense[[#This Row],[allocated_cost]]-cloudSense[[#This Row],[actual_used_cost]]</f>
        <v>2</v>
      </c>
      <c r="J53" s="12">
        <f>((cloudSense[[#This Row],[allocated_cost]]-cloudSense[[#This Row],[actual_used_cost]])/cloudSense[[#This Row],[allocated_cost]]*100)*0.01</f>
        <v>3.333333333333334E-3</v>
      </c>
      <c r="K53" s="13">
        <f>IF('cloudSense'!E53="",AVERAGE('cloudSense'!$E$2:$E$201),'cloudSense'!E53)</f>
        <v>78</v>
      </c>
    </row>
    <row r="54" spans="1:11" x14ac:dyDescent="0.3">
      <c r="A54" s="10">
        <v>53</v>
      </c>
      <c r="B54" s="11">
        <v>45684</v>
      </c>
      <c r="C54" s="4">
        <v>14</v>
      </c>
      <c r="D54" s="4">
        <v>200</v>
      </c>
      <c r="E54" s="4">
        <v>38</v>
      </c>
      <c r="F54" s="4" t="s">
        <v>28</v>
      </c>
      <c r="G54" s="4" t="s">
        <v>13</v>
      </c>
      <c r="H54" s="4" t="str">
        <f>PROPER(TRIM(cloudSense[[#This Row],[resource_status]]))</f>
        <v>Idle</v>
      </c>
      <c r="I54" s="4">
        <f>cloudSense[[#This Row],[allocated_cost]]-cloudSense[[#This Row],[actual_used_cost]]</f>
        <v>162</v>
      </c>
      <c r="J54" s="12">
        <f>((cloudSense[[#This Row],[allocated_cost]]-cloudSense[[#This Row],[actual_used_cost]])/cloudSense[[#This Row],[allocated_cost]]*100)*0.01</f>
        <v>0.81</v>
      </c>
      <c r="K54" s="13">
        <f>IF('cloudSense'!E54="",AVERAGE('cloudSense'!$E$2:$E$201),'cloudSense'!E54)</f>
        <v>3</v>
      </c>
    </row>
    <row r="55" spans="1:11" x14ac:dyDescent="0.3">
      <c r="A55" s="10">
        <v>54</v>
      </c>
      <c r="B55" s="11">
        <v>45684</v>
      </c>
      <c r="C55" s="4">
        <v>535</v>
      </c>
      <c r="D55" s="4">
        <v>700</v>
      </c>
      <c r="E55" s="4">
        <v>695</v>
      </c>
      <c r="F55" s="4" t="s">
        <v>12</v>
      </c>
      <c r="G55" s="4" t="s">
        <v>13</v>
      </c>
      <c r="H55" s="4" t="str">
        <f>PROPER(TRIM(cloudSense[[#This Row],[resource_status]]))</f>
        <v>Active</v>
      </c>
      <c r="I55" s="4">
        <f>cloudSense[[#This Row],[allocated_cost]]-cloudSense[[#This Row],[actual_used_cost]]</f>
        <v>5</v>
      </c>
      <c r="J55" s="12">
        <f>((cloudSense[[#This Row],[allocated_cost]]-cloudSense[[#This Row],[actual_used_cost]])/cloudSense[[#This Row],[allocated_cost]]*100)*0.01</f>
        <v>7.1428571428571435E-3</v>
      </c>
      <c r="K55" s="13">
        <f>IF('cloudSense'!E55="",AVERAGE('cloudSense'!$E$2:$E$201),'cloudSense'!E55)</f>
        <v>91</v>
      </c>
    </row>
    <row r="56" spans="1:11" x14ac:dyDescent="0.3">
      <c r="A56" s="10">
        <v>55</v>
      </c>
      <c r="B56" s="11">
        <v>45685</v>
      </c>
      <c r="C56" s="4">
        <v>148</v>
      </c>
      <c r="D56" s="4">
        <v>500</v>
      </c>
      <c r="E56" s="4">
        <v>275</v>
      </c>
      <c r="F56" s="4" t="s">
        <v>9</v>
      </c>
      <c r="G56" s="4" t="s">
        <v>10</v>
      </c>
      <c r="H56" s="4" t="str">
        <f>PROPER(TRIM(cloudSense[[#This Row],[resource_status]]))</f>
        <v>Active</v>
      </c>
      <c r="I56" s="4">
        <f>cloudSense[[#This Row],[allocated_cost]]-cloudSense[[#This Row],[actual_used_cost]]</f>
        <v>225</v>
      </c>
      <c r="J56" s="12">
        <f>((cloudSense[[#This Row],[allocated_cost]]-cloudSense[[#This Row],[actual_used_cost]])/cloudSense[[#This Row],[allocated_cost]]*100)*0.01</f>
        <v>0.45</v>
      </c>
      <c r="K56" s="13">
        <f>IF('cloudSense'!E56="",AVERAGE('cloudSense'!$E$2:$E$201),'cloudSense'!E56)</f>
        <v>29</v>
      </c>
    </row>
    <row r="57" spans="1:11" x14ac:dyDescent="0.3">
      <c r="A57" s="10">
        <v>56</v>
      </c>
      <c r="B57" s="11">
        <v>45685</v>
      </c>
      <c r="C57" s="4">
        <v>278</v>
      </c>
      <c r="D57" s="4">
        <v>600</v>
      </c>
      <c r="E57" s="4">
        <v>395</v>
      </c>
      <c r="F57" s="4" t="s">
        <v>17</v>
      </c>
      <c r="G57" s="4" t="s">
        <v>18</v>
      </c>
      <c r="H57" s="4" t="str">
        <f>PROPER(TRIM(cloudSense[[#This Row],[resource_status]]))</f>
        <v>Idle</v>
      </c>
      <c r="I57" s="4">
        <f>cloudSense[[#This Row],[allocated_cost]]-cloudSense[[#This Row],[actual_used_cost]]</f>
        <v>205</v>
      </c>
      <c r="J57" s="12">
        <f>((cloudSense[[#This Row],[allocated_cost]]-cloudSense[[#This Row],[actual_used_cost]])/cloudSense[[#This Row],[allocated_cost]]*100)*0.01</f>
        <v>0.34166666666666667</v>
      </c>
      <c r="K57" s="13">
        <f>IF('cloudSense'!E57="",AVERAGE('cloudSense'!$E$2:$E$201),'cloudSense'!E57)</f>
        <v>47.111111111111114</v>
      </c>
    </row>
    <row r="58" spans="1:11" x14ac:dyDescent="0.3">
      <c r="A58" s="10">
        <v>57</v>
      </c>
      <c r="B58" s="11">
        <v>45686</v>
      </c>
      <c r="C58" s="4">
        <v>26</v>
      </c>
      <c r="D58" s="4">
        <v>200</v>
      </c>
      <c r="E58" s="4">
        <v>58</v>
      </c>
      <c r="F58" s="4" t="s">
        <v>28</v>
      </c>
      <c r="G58" s="4" t="s">
        <v>20</v>
      </c>
      <c r="H58" s="4" t="str">
        <f>PROPER(TRIM(cloudSense[[#This Row],[resource_status]]))</f>
        <v>Idle</v>
      </c>
      <c r="I58" s="4">
        <f>cloudSense[[#This Row],[allocated_cost]]-cloudSense[[#This Row],[actual_used_cost]]</f>
        <v>142</v>
      </c>
      <c r="J58" s="12">
        <f>((cloudSense[[#This Row],[allocated_cost]]-cloudSense[[#This Row],[actual_used_cost]])/cloudSense[[#This Row],[allocated_cost]]*100)*0.01</f>
        <v>0.71</v>
      </c>
      <c r="K58" s="13">
        <f>IF('cloudSense'!E58="",AVERAGE('cloudSense'!$E$2:$E$201),'cloudSense'!E58)</f>
        <v>6</v>
      </c>
    </row>
    <row r="59" spans="1:11" x14ac:dyDescent="0.3">
      <c r="A59" s="10">
        <v>58</v>
      </c>
      <c r="B59" s="11">
        <v>45686</v>
      </c>
      <c r="C59" s="4">
        <v>565</v>
      </c>
      <c r="D59" s="4">
        <v>700</v>
      </c>
      <c r="E59" s="4">
        <v>700</v>
      </c>
      <c r="F59" s="4" t="s">
        <v>12</v>
      </c>
      <c r="G59" s="4" t="s">
        <v>13</v>
      </c>
      <c r="H59" s="4" t="str">
        <f>PROPER(TRIM(cloudSense[[#This Row],[resource_status]]))</f>
        <v>Active</v>
      </c>
      <c r="I59" s="4">
        <f>cloudSense[[#This Row],[allocated_cost]]-cloudSense[[#This Row],[actual_used_cost]]</f>
        <v>0</v>
      </c>
      <c r="J59" s="12">
        <f>((cloudSense[[#This Row],[allocated_cost]]-cloudSense[[#This Row],[actual_used_cost]])/cloudSense[[#This Row],[allocated_cost]]*100)*0.01</f>
        <v>0</v>
      </c>
      <c r="K59" s="13">
        <f>IF('cloudSense'!E59="",AVERAGE('cloudSense'!$E$2:$E$201),'cloudSense'!E59)</f>
        <v>94</v>
      </c>
    </row>
    <row r="60" spans="1:11" x14ac:dyDescent="0.3">
      <c r="A60" s="10">
        <v>59</v>
      </c>
      <c r="B60" s="11">
        <v>45687</v>
      </c>
      <c r="C60" s="4">
        <v>108</v>
      </c>
      <c r="D60" s="4">
        <v>500</v>
      </c>
      <c r="E60" s="4">
        <v>170</v>
      </c>
      <c r="F60" s="4" t="s">
        <v>9</v>
      </c>
      <c r="G60" s="4" t="s">
        <v>10</v>
      </c>
      <c r="H60" s="4" t="str">
        <f>PROPER(TRIM(cloudSense[[#This Row],[resource_status]]))</f>
        <v>Idle</v>
      </c>
      <c r="I60" s="4">
        <f>cloudSense[[#This Row],[allocated_cost]]-cloudSense[[#This Row],[actual_used_cost]]</f>
        <v>330</v>
      </c>
      <c r="J60" s="12">
        <f>((cloudSense[[#This Row],[allocated_cost]]-cloudSense[[#This Row],[actual_used_cost]])/cloudSense[[#This Row],[allocated_cost]]*100)*0.01</f>
        <v>0.66</v>
      </c>
      <c r="K60" s="13">
        <f>IF('cloudSense'!E60="",AVERAGE('cloudSense'!$E$2:$E$201),'cloudSense'!E60)</f>
        <v>16</v>
      </c>
    </row>
    <row r="61" spans="1:11" x14ac:dyDescent="0.3">
      <c r="A61" s="10">
        <v>60</v>
      </c>
      <c r="B61" s="11">
        <v>45687</v>
      </c>
      <c r="C61" s="4">
        <v>318</v>
      </c>
      <c r="D61" s="4">
        <v>600</v>
      </c>
      <c r="E61" s="4">
        <v>578</v>
      </c>
      <c r="F61" s="4" t="s">
        <v>17</v>
      </c>
      <c r="G61" s="4" t="s">
        <v>18</v>
      </c>
      <c r="H61" s="4" t="str">
        <f>PROPER(TRIM(cloudSense[[#This Row],[resource_status]]))</f>
        <v>Active</v>
      </c>
      <c r="I61" s="4">
        <f>cloudSense[[#This Row],[allocated_cost]]-cloudSense[[#This Row],[actual_used_cost]]</f>
        <v>22</v>
      </c>
      <c r="J61" s="12">
        <f>((cloudSense[[#This Row],[allocated_cost]]-cloudSense[[#This Row],[actual_used_cost]])/cloudSense[[#This Row],[allocated_cost]]*100)*0.01</f>
        <v>3.6666666666666667E-2</v>
      </c>
      <c r="K61" s="13">
        <f>IF('cloudSense'!E61="",AVERAGE('cloudSense'!$E$2:$E$201),'cloudSense'!E61)</f>
        <v>64</v>
      </c>
    </row>
    <row r="62" spans="1:11" x14ac:dyDescent="0.3">
      <c r="A62" s="10">
        <v>61</v>
      </c>
      <c r="B62" s="11">
        <v>45688</v>
      </c>
      <c r="C62" s="4">
        <v>168</v>
      </c>
      <c r="D62" s="4">
        <v>500</v>
      </c>
      <c r="E62" s="4">
        <v>290</v>
      </c>
      <c r="F62" s="4" t="s">
        <v>9</v>
      </c>
      <c r="G62" s="4" t="s">
        <v>10</v>
      </c>
      <c r="H62" s="4" t="str">
        <f>PROPER(TRIM(cloudSense[[#This Row],[resource_status]]))</f>
        <v>Active</v>
      </c>
      <c r="I62" s="4">
        <f>cloudSense[[#This Row],[allocated_cost]]-cloudSense[[#This Row],[actual_used_cost]]</f>
        <v>210</v>
      </c>
      <c r="J62" s="12">
        <f>((cloudSense[[#This Row],[allocated_cost]]-cloudSense[[#This Row],[actual_used_cost]])/cloudSense[[#This Row],[allocated_cost]]*100)*0.01</f>
        <v>0.42</v>
      </c>
      <c r="K62" s="13">
        <f>IF('cloudSense'!E62="",AVERAGE('cloudSense'!$E$2:$E$201),'cloudSense'!E62)</f>
        <v>34</v>
      </c>
    </row>
    <row r="63" spans="1:11" x14ac:dyDescent="0.3">
      <c r="A63" s="10">
        <v>62</v>
      </c>
      <c r="B63" s="11">
        <v>45688</v>
      </c>
      <c r="C63" s="4">
        <v>445</v>
      </c>
      <c r="D63" s="4">
        <v>700</v>
      </c>
      <c r="E63" s="4">
        <v>635</v>
      </c>
      <c r="F63" s="4" t="s">
        <v>12</v>
      </c>
      <c r="G63" s="4" t="s">
        <v>13</v>
      </c>
      <c r="H63" s="4" t="str">
        <f>PROPER(TRIM(cloudSense[[#This Row],[resource_status]]))</f>
        <v>Active</v>
      </c>
      <c r="I63" s="4">
        <f>cloudSense[[#This Row],[allocated_cost]]-cloudSense[[#This Row],[actual_used_cost]]</f>
        <v>65</v>
      </c>
      <c r="J63" s="12">
        <f>((cloudSense[[#This Row],[allocated_cost]]-cloudSense[[#This Row],[actual_used_cost]])/cloudSense[[#This Row],[allocated_cost]]*100)*0.01</f>
        <v>9.285714285714286E-2</v>
      </c>
      <c r="K63" s="13">
        <f>IF('cloudSense'!E63="",AVERAGE('cloudSense'!$E$2:$E$201),'cloudSense'!E63)</f>
        <v>74</v>
      </c>
    </row>
    <row r="64" spans="1:11" x14ac:dyDescent="0.3">
      <c r="A64" s="10">
        <v>63</v>
      </c>
      <c r="B64" s="11">
        <v>45689</v>
      </c>
      <c r="C64" s="4">
        <v>100</v>
      </c>
      <c r="D64" s="4">
        <v>500</v>
      </c>
      <c r="E64" s="4">
        <v>115</v>
      </c>
      <c r="F64" s="4" t="s">
        <v>9</v>
      </c>
      <c r="G64" s="4" t="s">
        <v>10</v>
      </c>
      <c r="H64" s="4" t="str">
        <f>PROPER(TRIM(cloudSense[[#This Row],[resource_status]]))</f>
        <v>Idle</v>
      </c>
      <c r="I64" s="4">
        <f>cloudSense[[#This Row],[allocated_cost]]-cloudSense[[#This Row],[actual_used_cost]]</f>
        <v>385</v>
      </c>
      <c r="J64" s="12">
        <f>((cloudSense[[#This Row],[allocated_cost]]-cloudSense[[#This Row],[actual_used_cost]])/cloudSense[[#This Row],[allocated_cost]]*100)*0.01</f>
        <v>0.77</v>
      </c>
      <c r="K64" s="13">
        <f>IF('cloudSense'!E64="",AVERAGE('cloudSense'!$E$2:$E$201),'cloudSense'!E64)</f>
        <v>12</v>
      </c>
    </row>
    <row r="65" spans="1:11" x14ac:dyDescent="0.3">
      <c r="A65" s="10">
        <v>64</v>
      </c>
      <c r="B65" s="11">
        <v>45689</v>
      </c>
      <c r="C65" s="4">
        <v>300</v>
      </c>
      <c r="D65" s="4">
        <v>600</v>
      </c>
      <c r="E65" s="4">
        <v>510</v>
      </c>
      <c r="F65" s="4" t="s">
        <v>17</v>
      </c>
      <c r="G65" s="4" t="s">
        <v>18</v>
      </c>
      <c r="H65" s="4" t="str">
        <f>PROPER(TRIM(cloudSense[[#This Row],[resource_status]]))</f>
        <v>Active</v>
      </c>
      <c r="I65" s="4">
        <f>cloudSense[[#This Row],[allocated_cost]]-cloudSense[[#This Row],[actual_used_cost]]</f>
        <v>90</v>
      </c>
      <c r="J65" s="12">
        <f>((cloudSense[[#This Row],[allocated_cost]]-cloudSense[[#This Row],[actual_used_cost]])/cloudSense[[#This Row],[allocated_cost]]*100)*0.01</f>
        <v>0.15</v>
      </c>
      <c r="K65" s="13">
        <f>IF('cloudSense'!E65="",AVERAGE('cloudSense'!$E$2:$E$201),'cloudSense'!E65)</f>
        <v>59</v>
      </c>
    </row>
    <row r="66" spans="1:11" x14ac:dyDescent="0.3">
      <c r="A66" s="10">
        <v>65</v>
      </c>
      <c r="B66" s="11">
        <v>45690</v>
      </c>
      <c r="C66" s="4">
        <v>22</v>
      </c>
      <c r="D66" s="4">
        <v>200</v>
      </c>
      <c r="E66" s="4">
        <v>52</v>
      </c>
      <c r="F66" s="4" t="s">
        <v>28</v>
      </c>
      <c r="G66" s="4" t="s">
        <v>20</v>
      </c>
      <c r="H66" s="4" t="str">
        <f>PROPER(TRIM(cloudSense[[#This Row],[resource_status]]))</f>
        <v>Idle</v>
      </c>
      <c r="I66" s="4">
        <f>cloudSense[[#This Row],[allocated_cost]]-cloudSense[[#This Row],[actual_used_cost]]</f>
        <v>148</v>
      </c>
      <c r="J66" s="12">
        <f>((cloudSense[[#This Row],[allocated_cost]]-cloudSense[[#This Row],[actual_used_cost]])/cloudSense[[#This Row],[allocated_cost]]*100)*0.01</f>
        <v>0.74</v>
      </c>
      <c r="K66" s="13">
        <f>IF('cloudSense'!E66="",AVERAGE('cloudSense'!$E$2:$E$201),'cloudSense'!E66)</f>
        <v>5</v>
      </c>
    </row>
    <row r="67" spans="1:11" x14ac:dyDescent="0.3">
      <c r="A67" s="10">
        <v>66</v>
      </c>
      <c r="B67" s="11">
        <v>45690</v>
      </c>
      <c r="C67" s="4">
        <v>490</v>
      </c>
      <c r="D67" s="4">
        <v>700</v>
      </c>
      <c r="E67" s="4">
        <v>660</v>
      </c>
      <c r="F67" s="4" t="s">
        <v>12</v>
      </c>
      <c r="G67" s="4" t="s">
        <v>13</v>
      </c>
      <c r="H67" s="4" t="str">
        <f>PROPER(TRIM(cloudSense[[#This Row],[resource_status]]))</f>
        <v>Active</v>
      </c>
      <c r="I67" s="4">
        <f>cloudSense[[#This Row],[allocated_cost]]-cloudSense[[#This Row],[actual_used_cost]]</f>
        <v>40</v>
      </c>
      <c r="J67" s="12">
        <f>((cloudSense[[#This Row],[allocated_cost]]-cloudSense[[#This Row],[actual_used_cost]])/cloudSense[[#This Row],[allocated_cost]]*100)*0.01</f>
        <v>5.7142857142857148E-2</v>
      </c>
      <c r="K67" s="13">
        <f>IF('cloudSense'!E67="",AVERAGE('cloudSense'!$E$2:$E$201),'cloudSense'!E67)</f>
        <v>83</v>
      </c>
    </row>
    <row r="68" spans="1:11" x14ac:dyDescent="0.3">
      <c r="A68" s="10">
        <v>67</v>
      </c>
      <c r="B68" s="11">
        <v>45691</v>
      </c>
      <c r="C68" s="4">
        <v>178</v>
      </c>
      <c r="D68" s="4">
        <v>500</v>
      </c>
      <c r="E68" s="4">
        <v>335</v>
      </c>
      <c r="F68" s="4" t="s">
        <v>9</v>
      </c>
      <c r="G68" s="4" t="s">
        <v>10</v>
      </c>
      <c r="H68" s="4" t="str">
        <f>PROPER(TRIM(cloudSense[[#This Row],[resource_status]]))</f>
        <v>Active</v>
      </c>
      <c r="I68" s="4">
        <f>cloudSense[[#This Row],[allocated_cost]]-cloudSense[[#This Row],[actual_used_cost]]</f>
        <v>165</v>
      </c>
      <c r="J68" s="12">
        <f>((cloudSense[[#This Row],[allocated_cost]]-cloudSense[[#This Row],[actual_used_cost]])/cloudSense[[#This Row],[allocated_cost]]*100)*0.01</f>
        <v>0.33</v>
      </c>
      <c r="K68" s="13">
        <f>IF('cloudSense'!E68="",AVERAGE('cloudSense'!$E$2:$E$201),'cloudSense'!E68)</f>
        <v>38</v>
      </c>
    </row>
    <row r="69" spans="1:11" x14ac:dyDescent="0.3">
      <c r="A69" s="10">
        <v>68</v>
      </c>
      <c r="B69" s="11">
        <v>45691</v>
      </c>
      <c r="C69" s="4">
        <v>220</v>
      </c>
      <c r="D69" s="4">
        <v>600</v>
      </c>
      <c r="E69" s="4">
        <v>175</v>
      </c>
      <c r="F69" s="4" t="s">
        <v>17</v>
      </c>
      <c r="G69" s="4" t="s">
        <v>18</v>
      </c>
      <c r="H69" s="4" t="str">
        <f>PROPER(TRIM(cloudSense[[#This Row],[resource_status]]))</f>
        <v>Idle</v>
      </c>
      <c r="I69" s="4">
        <f>cloudSense[[#This Row],[allocated_cost]]-cloudSense[[#This Row],[actual_used_cost]]</f>
        <v>425</v>
      </c>
      <c r="J69" s="12">
        <f>((cloudSense[[#This Row],[allocated_cost]]-cloudSense[[#This Row],[actual_used_cost]])/cloudSense[[#This Row],[allocated_cost]]*100)*0.01</f>
        <v>0.70833333333333348</v>
      </c>
      <c r="K69" s="13">
        <f>IF('cloudSense'!E69="",AVERAGE('cloudSense'!$E$2:$E$201),'cloudSense'!E69)</f>
        <v>23</v>
      </c>
    </row>
    <row r="70" spans="1:11" x14ac:dyDescent="0.3">
      <c r="A70" s="10">
        <v>69</v>
      </c>
      <c r="B70" s="11">
        <v>45692</v>
      </c>
      <c r="C70" s="4">
        <v>270</v>
      </c>
      <c r="D70" s="4">
        <v>500</v>
      </c>
      <c r="E70" s="4">
        <v>478</v>
      </c>
      <c r="F70" s="4" t="s">
        <v>9</v>
      </c>
      <c r="G70" s="4" t="s">
        <v>10</v>
      </c>
      <c r="H70" s="4" t="str">
        <f>PROPER(TRIM(cloudSense[[#This Row],[resource_status]]))</f>
        <v>Active</v>
      </c>
      <c r="I70" s="4">
        <f>cloudSense[[#This Row],[allocated_cost]]-cloudSense[[#This Row],[actual_used_cost]]</f>
        <v>22</v>
      </c>
      <c r="J70" s="12">
        <f>((cloudSense[[#This Row],[allocated_cost]]-cloudSense[[#This Row],[actual_used_cost]])/cloudSense[[#This Row],[allocated_cost]]*100)*0.01</f>
        <v>4.3999999999999997E-2</v>
      </c>
      <c r="K70" s="13">
        <f>IF('cloudSense'!E70="",AVERAGE('cloudSense'!$E$2:$E$201),'cloudSense'!E70)</f>
        <v>89</v>
      </c>
    </row>
    <row r="71" spans="1:11" x14ac:dyDescent="0.3">
      <c r="A71" s="10">
        <v>70</v>
      </c>
      <c r="B71" s="11">
        <v>45692</v>
      </c>
      <c r="C71" s="4">
        <v>520</v>
      </c>
      <c r="D71" s="4">
        <v>700</v>
      </c>
      <c r="E71" s="4">
        <v>435</v>
      </c>
      <c r="F71" s="4" t="s">
        <v>12</v>
      </c>
      <c r="G71" s="4" t="s">
        <v>13</v>
      </c>
      <c r="H71" s="4" t="str">
        <f>PROPER(TRIM(cloudSense[[#This Row],[resource_status]]))</f>
        <v>Active</v>
      </c>
      <c r="I71" s="4">
        <f>cloudSense[[#This Row],[allocated_cost]]-cloudSense[[#This Row],[actual_used_cost]]</f>
        <v>265</v>
      </c>
      <c r="J71" s="12">
        <f>((cloudSense[[#This Row],[allocated_cost]]-cloudSense[[#This Row],[actual_used_cost]])/cloudSense[[#This Row],[allocated_cost]]*100)*0.01</f>
        <v>0.37857142857142856</v>
      </c>
      <c r="K71" s="13">
        <f>IF('cloudSense'!E71="",AVERAGE('cloudSense'!$E$2:$E$201),'cloudSense'!E71)</f>
        <v>55</v>
      </c>
    </row>
    <row r="72" spans="1:11" x14ac:dyDescent="0.3">
      <c r="A72" s="10">
        <v>71</v>
      </c>
      <c r="B72" s="11">
        <v>45693</v>
      </c>
      <c r="C72" s="4">
        <v>95</v>
      </c>
      <c r="D72" s="4">
        <v>500</v>
      </c>
      <c r="E72" s="4">
        <v>105</v>
      </c>
      <c r="F72" s="4" t="s">
        <v>9</v>
      </c>
      <c r="G72" s="4" t="s">
        <v>10</v>
      </c>
      <c r="H72" s="4" t="str">
        <f>PROPER(TRIM(cloudSense[[#This Row],[resource_status]]))</f>
        <v>Idle</v>
      </c>
      <c r="I72" s="4">
        <f>cloudSense[[#This Row],[allocated_cost]]-cloudSense[[#This Row],[actual_used_cost]]</f>
        <v>395</v>
      </c>
      <c r="J72" s="12">
        <f>((cloudSense[[#This Row],[allocated_cost]]-cloudSense[[#This Row],[actual_used_cost]])/cloudSense[[#This Row],[allocated_cost]]*100)*0.01</f>
        <v>0.79</v>
      </c>
      <c r="K72" s="13">
        <f>IF('cloudSense'!E72="",AVERAGE('cloudSense'!$E$2:$E$201),'cloudSense'!E72)</f>
        <v>11</v>
      </c>
    </row>
    <row r="73" spans="1:11" x14ac:dyDescent="0.3">
      <c r="A73" s="10">
        <v>72</v>
      </c>
      <c r="B73" s="11">
        <v>45693</v>
      </c>
      <c r="C73" s="4">
        <v>375</v>
      </c>
      <c r="D73" s="4">
        <v>600</v>
      </c>
      <c r="E73" s="4">
        <v>600</v>
      </c>
      <c r="F73" s="4" t="s">
        <v>17</v>
      </c>
      <c r="G73" s="4" t="s">
        <v>20</v>
      </c>
      <c r="H73" s="4" t="str">
        <f>PROPER(TRIM(cloudSense[[#This Row],[resource_status]]))</f>
        <v>Active</v>
      </c>
      <c r="I73" s="4">
        <f>cloudSense[[#This Row],[allocated_cost]]-cloudSense[[#This Row],[actual_used_cost]]</f>
        <v>0</v>
      </c>
      <c r="J73" s="12">
        <f>((cloudSense[[#This Row],[allocated_cost]]-cloudSense[[#This Row],[actual_used_cost]])/cloudSense[[#This Row],[allocated_cost]]*100)*0.01</f>
        <v>0</v>
      </c>
      <c r="K73" s="13">
        <f>IF('cloudSense'!E73="",AVERAGE('cloudSense'!$E$2:$E$201),'cloudSense'!E73)</f>
        <v>80</v>
      </c>
    </row>
    <row r="74" spans="1:11" x14ac:dyDescent="0.3">
      <c r="A74" s="10">
        <v>73</v>
      </c>
      <c r="B74" s="11">
        <v>45694</v>
      </c>
      <c r="C74" s="4">
        <v>16</v>
      </c>
      <c r="D74" s="4">
        <v>200</v>
      </c>
      <c r="E74" s="4">
        <v>42</v>
      </c>
      <c r="F74" s="4" t="s">
        <v>28</v>
      </c>
      <c r="G74" s="4" t="s">
        <v>13</v>
      </c>
      <c r="H74" s="4" t="str">
        <f>PROPER(TRIM(cloudSense[[#This Row],[resource_status]]))</f>
        <v>Idle</v>
      </c>
      <c r="I74" s="4">
        <f>cloudSense[[#This Row],[allocated_cost]]-cloudSense[[#This Row],[actual_used_cost]]</f>
        <v>158</v>
      </c>
      <c r="J74" s="12">
        <f>((cloudSense[[#This Row],[allocated_cost]]-cloudSense[[#This Row],[actual_used_cost]])/cloudSense[[#This Row],[allocated_cost]]*100)*0.01</f>
        <v>0.79</v>
      </c>
      <c r="K74" s="13">
        <f>IF('cloudSense'!E74="",AVERAGE('cloudSense'!$E$2:$E$201),'cloudSense'!E74)</f>
        <v>4</v>
      </c>
    </row>
    <row r="75" spans="1:11" x14ac:dyDescent="0.3">
      <c r="A75" s="10">
        <v>74</v>
      </c>
      <c r="B75" s="11">
        <v>45694</v>
      </c>
      <c r="C75" s="4">
        <v>540</v>
      </c>
      <c r="D75" s="4">
        <v>700</v>
      </c>
      <c r="E75" s="4">
        <v>698</v>
      </c>
      <c r="F75" s="4" t="s">
        <v>12</v>
      </c>
      <c r="G75" s="4" t="s">
        <v>13</v>
      </c>
      <c r="H75" s="4" t="str">
        <f>PROPER(TRIM(cloudSense[[#This Row],[resource_status]]))</f>
        <v>Active</v>
      </c>
      <c r="I75" s="4">
        <f>cloudSense[[#This Row],[allocated_cost]]-cloudSense[[#This Row],[actual_used_cost]]</f>
        <v>2</v>
      </c>
      <c r="J75" s="12">
        <f>((cloudSense[[#This Row],[allocated_cost]]-cloudSense[[#This Row],[actual_used_cost]])/cloudSense[[#This Row],[allocated_cost]]*100)*0.01</f>
        <v>2.8571428571428571E-3</v>
      </c>
      <c r="K75" s="13">
        <f>IF('cloudSense'!E75="",AVERAGE('cloudSense'!$E$2:$E$201),'cloudSense'!E75)</f>
        <v>92</v>
      </c>
    </row>
    <row r="76" spans="1:11" x14ac:dyDescent="0.3">
      <c r="A76" s="10">
        <v>75</v>
      </c>
      <c r="B76" s="11">
        <v>45695</v>
      </c>
      <c r="C76" s="4">
        <v>160</v>
      </c>
      <c r="D76" s="4">
        <v>500</v>
      </c>
      <c r="E76" s="4">
        <v>280</v>
      </c>
      <c r="F76" s="4" t="s">
        <v>9</v>
      </c>
      <c r="G76" s="4" t="s">
        <v>10</v>
      </c>
      <c r="H76" s="4" t="str">
        <f>PROPER(TRIM(cloudSense[[#This Row],[resource_status]]))</f>
        <v>Active</v>
      </c>
      <c r="I76" s="4">
        <f>cloudSense[[#This Row],[allocated_cost]]-cloudSense[[#This Row],[actual_used_cost]]</f>
        <v>220</v>
      </c>
      <c r="J76" s="12">
        <f>((cloudSense[[#This Row],[allocated_cost]]-cloudSense[[#This Row],[actual_used_cost]])/cloudSense[[#This Row],[allocated_cost]]*100)*0.01</f>
        <v>0.44</v>
      </c>
      <c r="K76" s="13">
        <f>IF('cloudSense'!E76="",AVERAGE('cloudSense'!$E$2:$E$201),'cloudSense'!E76)</f>
        <v>31</v>
      </c>
    </row>
    <row r="77" spans="1:11" x14ac:dyDescent="0.3">
      <c r="A77" s="10">
        <v>76</v>
      </c>
      <c r="B77" s="11">
        <v>45695</v>
      </c>
      <c r="C77" s="4">
        <v>282</v>
      </c>
      <c r="D77" s="4">
        <v>600</v>
      </c>
      <c r="E77" s="4">
        <v>398</v>
      </c>
      <c r="F77" s="4" t="s">
        <v>17</v>
      </c>
      <c r="G77" s="4" t="s">
        <v>18</v>
      </c>
      <c r="H77" s="4" t="str">
        <f>PROPER(TRIM(cloudSense[[#This Row],[resource_status]]))</f>
        <v>Idle</v>
      </c>
      <c r="I77" s="4">
        <f>cloudSense[[#This Row],[allocated_cost]]-cloudSense[[#This Row],[actual_used_cost]]</f>
        <v>202</v>
      </c>
      <c r="J77" s="12">
        <f>((cloudSense[[#This Row],[allocated_cost]]-cloudSense[[#This Row],[actual_used_cost]])/cloudSense[[#This Row],[allocated_cost]]*100)*0.01</f>
        <v>0.33666666666666667</v>
      </c>
      <c r="K77" s="13">
        <f>IF('cloudSense'!E77="",AVERAGE('cloudSense'!$E$2:$E$201),'cloudSense'!E77)</f>
        <v>47.111111111111114</v>
      </c>
    </row>
    <row r="78" spans="1:11" x14ac:dyDescent="0.3">
      <c r="A78" s="10">
        <v>77</v>
      </c>
      <c r="B78" s="11">
        <v>45696</v>
      </c>
      <c r="C78" s="4">
        <v>27</v>
      </c>
      <c r="D78" s="4">
        <v>200</v>
      </c>
      <c r="E78" s="4">
        <v>60</v>
      </c>
      <c r="F78" s="4" t="s">
        <v>28</v>
      </c>
      <c r="G78" s="4" t="s">
        <v>20</v>
      </c>
      <c r="H78" s="4" t="str">
        <f>PROPER(TRIM(cloudSense[[#This Row],[resource_status]]))</f>
        <v>Idle</v>
      </c>
      <c r="I78" s="4">
        <f>cloudSense[[#This Row],[allocated_cost]]-cloudSense[[#This Row],[actual_used_cost]]</f>
        <v>140</v>
      </c>
      <c r="J78" s="12">
        <f>((cloudSense[[#This Row],[allocated_cost]]-cloudSense[[#This Row],[actual_used_cost]])/cloudSense[[#This Row],[allocated_cost]]*100)*0.01</f>
        <v>0.70000000000000007</v>
      </c>
      <c r="K78" s="13">
        <f>IF('cloudSense'!E78="",AVERAGE('cloudSense'!$E$2:$E$201),'cloudSense'!E78)</f>
        <v>7</v>
      </c>
    </row>
    <row r="79" spans="1:11" x14ac:dyDescent="0.3">
      <c r="A79" s="10">
        <v>78</v>
      </c>
      <c r="B79" s="11">
        <v>45696</v>
      </c>
      <c r="C79" s="4">
        <v>570</v>
      </c>
      <c r="D79" s="4">
        <v>700</v>
      </c>
      <c r="E79" s="4">
        <v>700</v>
      </c>
      <c r="F79" s="4" t="s">
        <v>12</v>
      </c>
      <c r="G79" s="4" t="s">
        <v>13</v>
      </c>
      <c r="H79" s="4" t="str">
        <f>PROPER(TRIM(cloudSense[[#This Row],[resource_status]]))</f>
        <v>Active</v>
      </c>
      <c r="I79" s="4">
        <f>cloudSense[[#This Row],[allocated_cost]]-cloudSense[[#This Row],[actual_used_cost]]</f>
        <v>0</v>
      </c>
      <c r="J79" s="12">
        <f>((cloudSense[[#This Row],[allocated_cost]]-cloudSense[[#This Row],[actual_used_cost]])/cloudSense[[#This Row],[allocated_cost]]*100)*0.01</f>
        <v>0</v>
      </c>
      <c r="K79" s="13">
        <f>IF('cloudSense'!E79="",AVERAGE('cloudSense'!$E$2:$E$201),'cloudSense'!E79)</f>
        <v>95</v>
      </c>
    </row>
    <row r="80" spans="1:11" x14ac:dyDescent="0.3">
      <c r="A80" s="10">
        <v>79</v>
      </c>
      <c r="B80" s="11">
        <v>45697</v>
      </c>
      <c r="C80" s="4">
        <v>110</v>
      </c>
      <c r="D80" s="4">
        <v>500</v>
      </c>
      <c r="E80" s="4">
        <v>175</v>
      </c>
      <c r="F80" s="4" t="s">
        <v>9</v>
      </c>
      <c r="G80" s="4" t="s">
        <v>10</v>
      </c>
      <c r="H80" s="4" t="str">
        <f>PROPER(TRIM(cloudSense[[#This Row],[resource_status]]))</f>
        <v>Idle</v>
      </c>
      <c r="I80" s="4">
        <f>cloudSense[[#This Row],[allocated_cost]]-cloudSense[[#This Row],[actual_used_cost]]</f>
        <v>325</v>
      </c>
      <c r="J80" s="12">
        <f>((cloudSense[[#This Row],[allocated_cost]]-cloudSense[[#This Row],[actual_used_cost]])/cloudSense[[#This Row],[allocated_cost]]*100)*0.01</f>
        <v>0.65</v>
      </c>
      <c r="K80" s="13">
        <f>IF('cloudSense'!E80="",AVERAGE('cloudSense'!$E$2:$E$201),'cloudSense'!E80)</f>
        <v>17</v>
      </c>
    </row>
    <row r="81" spans="1:11" x14ac:dyDescent="0.3">
      <c r="A81" s="10">
        <v>80</v>
      </c>
      <c r="B81" s="11">
        <v>45697</v>
      </c>
      <c r="C81" s="4">
        <v>320</v>
      </c>
      <c r="D81" s="4">
        <v>600</v>
      </c>
      <c r="E81" s="4">
        <v>580</v>
      </c>
      <c r="F81" s="4" t="s">
        <v>17</v>
      </c>
      <c r="G81" s="4" t="s">
        <v>18</v>
      </c>
      <c r="H81" s="4" t="str">
        <f>PROPER(TRIM(cloudSense[[#This Row],[resource_status]]))</f>
        <v>Active</v>
      </c>
      <c r="I81" s="4">
        <f>cloudSense[[#This Row],[allocated_cost]]-cloudSense[[#This Row],[actual_used_cost]]</f>
        <v>20</v>
      </c>
      <c r="J81" s="12">
        <f>((cloudSense[[#This Row],[allocated_cost]]-cloudSense[[#This Row],[actual_used_cost]])/cloudSense[[#This Row],[allocated_cost]]*100)*0.01</f>
        <v>3.3333333333333333E-2</v>
      </c>
      <c r="K81" s="13">
        <f>IF('cloudSense'!E81="",AVERAGE('cloudSense'!$E$2:$E$201),'cloudSense'!E81)</f>
        <v>66</v>
      </c>
    </row>
    <row r="82" spans="1:11" x14ac:dyDescent="0.3">
      <c r="A82" s="10">
        <v>81</v>
      </c>
      <c r="B82" s="11">
        <v>45698</v>
      </c>
      <c r="C82" s="4">
        <v>170</v>
      </c>
      <c r="D82" s="4">
        <v>500</v>
      </c>
      <c r="E82" s="4">
        <v>295</v>
      </c>
      <c r="F82" s="4" t="s">
        <v>9</v>
      </c>
      <c r="G82" s="4" t="s">
        <v>10</v>
      </c>
      <c r="H82" s="4" t="str">
        <f>PROPER(TRIM(cloudSense[[#This Row],[resource_status]]))</f>
        <v>Active</v>
      </c>
      <c r="I82" s="4">
        <f>cloudSense[[#This Row],[allocated_cost]]-cloudSense[[#This Row],[actual_used_cost]]</f>
        <v>205</v>
      </c>
      <c r="J82" s="12">
        <f>((cloudSense[[#This Row],[allocated_cost]]-cloudSense[[#This Row],[actual_used_cost]])/cloudSense[[#This Row],[allocated_cost]]*100)*0.01</f>
        <v>0.41000000000000003</v>
      </c>
      <c r="K82" s="13">
        <f>IF('cloudSense'!E82="",AVERAGE('cloudSense'!$E$2:$E$201),'cloudSense'!E82)</f>
        <v>35</v>
      </c>
    </row>
    <row r="83" spans="1:11" x14ac:dyDescent="0.3">
      <c r="A83" s="10">
        <v>82</v>
      </c>
      <c r="B83" s="11">
        <v>45698</v>
      </c>
      <c r="C83" s="4">
        <v>450</v>
      </c>
      <c r="D83" s="4">
        <v>700</v>
      </c>
      <c r="E83" s="4">
        <v>640</v>
      </c>
      <c r="F83" s="4" t="s">
        <v>12</v>
      </c>
      <c r="G83" s="4" t="s">
        <v>13</v>
      </c>
      <c r="H83" s="4" t="str">
        <f>PROPER(TRIM(cloudSense[[#This Row],[resource_status]]))</f>
        <v>Active</v>
      </c>
      <c r="I83" s="4">
        <f>cloudSense[[#This Row],[allocated_cost]]-cloudSense[[#This Row],[actual_used_cost]]</f>
        <v>60</v>
      </c>
      <c r="J83" s="12">
        <f>((cloudSense[[#This Row],[allocated_cost]]-cloudSense[[#This Row],[actual_used_cost]])/cloudSense[[#This Row],[allocated_cost]]*100)*0.01</f>
        <v>8.5714285714285715E-2</v>
      </c>
      <c r="K83" s="13">
        <f>IF('cloudSense'!E83="",AVERAGE('cloudSense'!$E$2:$E$201),'cloudSense'!E83)</f>
        <v>75</v>
      </c>
    </row>
    <row r="84" spans="1:11" x14ac:dyDescent="0.3">
      <c r="A84" s="10">
        <v>83</v>
      </c>
      <c r="B84" s="11">
        <v>45699</v>
      </c>
      <c r="C84" s="4">
        <v>102</v>
      </c>
      <c r="D84" s="4">
        <v>500</v>
      </c>
      <c r="E84" s="4">
        <v>120</v>
      </c>
      <c r="F84" s="4" t="s">
        <v>9</v>
      </c>
      <c r="G84" s="4" t="s">
        <v>10</v>
      </c>
      <c r="H84" s="4" t="str">
        <f>PROPER(TRIM(cloudSense[[#This Row],[resource_status]]))</f>
        <v>Idle</v>
      </c>
      <c r="I84" s="4">
        <f>cloudSense[[#This Row],[allocated_cost]]-cloudSense[[#This Row],[actual_used_cost]]</f>
        <v>380</v>
      </c>
      <c r="J84" s="12">
        <f>((cloudSense[[#This Row],[allocated_cost]]-cloudSense[[#This Row],[actual_used_cost]])/cloudSense[[#This Row],[allocated_cost]]*100)*0.01</f>
        <v>0.76</v>
      </c>
      <c r="K84" s="13">
        <f>IF('cloudSense'!E84="",AVERAGE('cloudSense'!$E$2:$E$201),'cloudSense'!E84)</f>
        <v>13</v>
      </c>
    </row>
    <row r="85" spans="1:11" x14ac:dyDescent="0.3">
      <c r="A85" s="10">
        <v>84</v>
      </c>
      <c r="B85" s="11">
        <v>45699</v>
      </c>
      <c r="C85" s="4">
        <v>305</v>
      </c>
      <c r="D85" s="4">
        <v>600</v>
      </c>
      <c r="E85" s="4">
        <v>515</v>
      </c>
      <c r="F85" s="4" t="s">
        <v>17</v>
      </c>
      <c r="G85" s="4" t="s">
        <v>18</v>
      </c>
      <c r="H85" s="4" t="str">
        <f>PROPER(TRIM(cloudSense[[#This Row],[resource_status]]))</f>
        <v>Active</v>
      </c>
      <c r="I85" s="4">
        <f>cloudSense[[#This Row],[allocated_cost]]-cloudSense[[#This Row],[actual_used_cost]]</f>
        <v>85</v>
      </c>
      <c r="J85" s="12">
        <f>((cloudSense[[#This Row],[allocated_cost]]-cloudSense[[#This Row],[actual_used_cost]])/cloudSense[[#This Row],[allocated_cost]]*100)*0.01</f>
        <v>0.14166666666666666</v>
      </c>
      <c r="K85" s="13">
        <f>IF('cloudSense'!E85="",AVERAGE('cloudSense'!$E$2:$E$201),'cloudSense'!E85)</f>
        <v>60</v>
      </c>
    </row>
    <row r="86" spans="1:11" x14ac:dyDescent="0.3">
      <c r="A86" s="10">
        <v>85</v>
      </c>
      <c r="B86" s="11">
        <v>45700</v>
      </c>
      <c r="C86" s="4">
        <v>23</v>
      </c>
      <c r="D86" s="4">
        <v>200</v>
      </c>
      <c r="E86" s="4">
        <v>53</v>
      </c>
      <c r="F86" s="4" t="s">
        <v>28</v>
      </c>
      <c r="G86" s="4" t="s">
        <v>20</v>
      </c>
      <c r="H86" s="4" t="str">
        <f>PROPER(TRIM(cloudSense[[#This Row],[resource_status]]))</f>
        <v>Idle</v>
      </c>
      <c r="I86" s="4">
        <f>cloudSense[[#This Row],[allocated_cost]]-cloudSense[[#This Row],[actual_used_cost]]</f>
        <v>147</v>
      </c>
      <c r="J86" s="12">
        <f>((cloudSense[[#This Row],[allocated_cost]]-cloudSense[[#This Row],[actual_used_cost]])/cloudSense[[#This Row],[allocated_cost]]*100)*0.01</f>
        <v>0.73499999999999999</v>
      </c>
      <c r="K86" s="13">
        <f>IF('cloudSense'!E86="",AVERAGE('cloudSense'!$E$2:$E$201),'cloudSense'!E86)</f>
        <v>5</v>
      </c>
    </row>
    <row r="87" spans="1:11" x14ac:dyDescent="0.3">
      <c r="A87" s="10">
        <v>86</v>
      </c>
      <c r="B87" s="11">
        <v>45700</v>
      </c>
      <c r="C87" s="4">
        <v>495</v>
      </c>
      <c r="D87" s="4">
        <v>700</v>
      </c>
      <c r="E87" s="4">
        <v>665</v>
      </c>
      <c r="F87" s="4" t="s">
        <v>12</v>
      </c>
      <c r="G87" s="4" t="s">
        <v>13</v>
      </c>
      <c r="H87" s="4" t="str">
        <f>PROPER(TRIM(cloudSense[[#This Row],[resource_status]]))</f>
        <v>Active</v>
      </c>
      <c r="I87" s="4">
        <f>cloudSense[[#This Row],[allocated_cost]]-cloudSense[[#This Row],[actual_used_cost]]</f>
        <v>35</v>
      </c>
      <c r="J87" s="12">
        <f>((cloudSense[[#This Row],[allocated_cost]]-cloudSense[[#This Row],[actual_used_cost]])/cloudSense[[#This Row],[allocated_cost]]*100)*0.01</f>
        <v>0.05</v>
      </c>
      <c r="K87" s="13">
        <f>IF('cloudSense'!E87="",AVERAGE('cloudSense'!$E$2:$E$201),'cloudSense'!E87)</f>
        <v>84</v>
      </c>
    </row>
    <row r="88" spans="1:11" x14ac:dyDescent="0.3">
      <c r="A88" s="10">
        <v>87</v>
      </c>
      <c r="B88" s="11">
        <v>45701</v>
      </c>
      <c r="C88" s="4">
        <v>180</v>
      </c>
      <c r="D88" s="4">
        <v>500</v>
      </c>
      <c r="E88" s="4">
        <v>340</v>
      </c>
      <c r="F88" s="4" t="s">
        <v>9</v>
      </c>
      <c r="G88" s="4" t="s">
        <v>10</v>
      </c>
      <c r="H88" s="4" t="str">
        <f>PROPER(TRIM(cloudSense[[#This Row],[resource_status]]))</f>
        <v>Active</v>
      </c>
      <c r="I88" s="4">
        <f>cloudSense[[#This Row],[allocated_cost]]-cloudSense[[#This Row],[actual_used_cost]]</f>
        <v>160</v>
      </c>
      <c r="J88" s="12">
        <f>((cloudSense[[#This Row],[allocated_cost]]-cloudSense[[#This Row],[actual_used_cost]])/cloudSense[[#This Row],[allocated_cost]]*100)*0.01</f>
        <v>0.32</v>
      </c>
      <c r="K88" s="13">
        <f>IF('cloudSense'!E88="",AVERAGE('cloudSense'!$E$2:$E$201),'cloudSense'!E88)</f>
        <v>39</v>
      </c>
    </row>
    <row r="89" spans="1:11" x14ac:dyDescent="0.3">
      <c r="A89" s="10">
        <v>88</v>
      </c>
      <c r="B89" s="11">
        <v>45701</v>
      </c>
      <c r="C89" s="4">
        <v>225</v>
      </c>
      <c r="D89" s="4">
        <v>600</v>
      </c>
      <c r="E89" s="4">
        <v>180</v>
      </c>
      <c r="F89" s="4" t="s">
        <v>17</v>
      </c>
      <c r="G89" s="4" t="s">
        <v>18</v>
      </c>
      <c r="H89" s="4" t="str">
        <f>PROPER(TRIM(cloudSense[[#This Row],[resource_status]]))</f>
        <v>Idle</v>
      </c>
      <c r="I89" s="4">
        <f>cloudSense[[#This Row],[allocated_cost]]-cloudSense[[#This Row],[actual_used_cost]]</f>
        <v>420</v>
      </c>
      <c r="J89" s="12">
        <f>((cloudSense[[#This Row],[allocated_cost]]-cloudSense[[#This Row],[actual_used_cost]])/cloudSense[[#This Row],[allocated_cost]]*100)*0.01</f>
        <v>0.70000000000000007</v>
      </c>
      <c r="K89" s="13">
        <f>IF('cloudSense'!E89="",AVERAGE('cloudSense'!$E$2:$E$201),'cloudSense'!E89)</f>
        <v>24</v>
      </c>
    </row>
    <row r="90" spans="1:11" x14ac:dyDescent="0.3">
      <c r="A90" s="10">
        <v>89</v>
      </c>
      <c r="B90" s="11">
        <v>45702</v>
      </c>
      <c r="C90" s="4">
        <v>275</v>
      </c>
      <c r="D90" s="4">
        <v>500</v>
      </c>
      <c r="E90" s="4">
        <v>480</v>
      </c>
      <c r="F90" s="4" t="s">
        <v>9</v>
      </c>
      <c r="G90" s="4" t="s">
        <v>10</v>
      </c>
      <c r="H90" s="4" t="str">
        <f>PROPER(TRIM(cloudSense[[#This Row],[resource_status]]))</f>
        <v>Active</v>
      </c>
      <c r="I90" s="4">
        <f>cloudSense[[#This Row],[allocated_cost]]-cloudSense[[#This Row],[actual_used_cost]]</f>
        <v>20</v>
      </c>
      <c r="J90" s="12">
        <f>((cloudSense[[#This Row],[allocated_cost]]-cloudSense[[#This Row],[actual_used_cost]])/cloudSense[[#This Row],[allocated_cost]]*100)*0.01</f>
        <v>0.04</v>
      </c>
      <c r="K90" s="13">
        <f>IF('cloudSense'!E90="",AVERAGE('cloudSense'!$E$2:$E$201),'cloudSense'!E90)</f>
        <v>90</v>
      </c>
    </row>
    <row r="91" spans="1:11" x14ac:dyDescent="0.3">
      <c r="A91" s="10">
        <v>90</v>
      </c>
      <c r="B91" s="11">
        <v>45702</v>
      </c>
      <c r="C91" s="4">
        <v>525</v>
      </c>
      <c r="D91" s="4">
        <v>700</v>
      </c>
      <c r="E91" s="4">
        <v>440</v>
      </c>
      <c r="F91" s="4" t="s">
        <v>12</v>
      </c>
      <c r="G91" s="4" t="s">
        <v>13</v>
      </c>
      <c r="H91" s="4" t="str">
        <f>PROPER(TRIM(cloudSense[[#This Row],[resource_status]]))</f>
        <v>Active</v>
      </c>
      <c r="I91" s="4">
        <f>cloudSense[[#This Row],[allocated_cost]]-cloudSense[[#This Row],[actual_used_cost]]</f>
        <v>260</v>
      </c>
      <c r="J91" s="12">
        <f>((cloudSense[[#This Row],[allocated_cost]]-cloudSense[[#This Row],[actual_used_cost]])/cloudSense[[#This Row],[allocated_cost]]*100)*0.01</f>
        <v>0.37142857142857144</v>
      </c>
      <c r="K91" s="13">
        <f>IF('cloudSense'!E91="",AVERAGE('cloudSense'!$E$2:$E$201),'cloudSense'!E91)</f>
        <v>57</v>
      </c>
    </row>
    <row r="92" spans="1:11" x14ac:dyDescent="0.3">
      <c r="A92" s="10">
        <v>91</v>
      </c>
      <c r="B92" s="11">
        <v>45703</v>
      </c>
      <c r="C92" s="4">
        <v>97</v>
      </c>
      <c r="D92" s="4">
        <v>500</v>
      </c>
      <c r="E92" s="4">
        <v>110</v>
      </c>
      <c r="F92" s="4" t="s">
        <v>9</v>
      </c>
      <c r="G92" s="4" t="s">
        <v>10</v>
      </c>
      <c r="H92" s="4" t="str">
        <f>PROPER(TRIM(cloudSense[[#This Row],[resource_status]]))</f>
        <v>Idle</v>
      </c>
      <c r="I92" s="4">
        <f>cloudSense[[#This Row],[allocated_cost]]-cloudSense[[#This Row],[actual_used_cost]]</f>
        <v>390</v>
      </c>
      <c r="J92" s="12">
        <f>((cloudSense[[#This Row],[allocated_cost]]-cloudSense[[#This Row],[actual_used_cost]])/cloudSense[[#This Row],[allocated_cost]]*100)*0.01</f>
        <v>0.78</v>
      </c>
      <c r="K92" s="13">
        <f>IF('cloudSense'!E92="",AVERAGE('cloudSense'!$E$2:$E$201),'cloudSense'!E92)</f>
        <v>12</v>
      </c>
    </row>
    <row r="93" spans="1:11" x14ac:dyDescent="0.3">
      <c r="A93" s="10">
        <v>92</v>
      </c>
      <c r="B93" s="11">
        <v>45703</v>
      </c>
      <c r="C93" s="4">
        <v>380</v>
      </c>
      <c r="D93" s="4">
        <v>600</v>
      </c>
      <c r="E93" s="4">
        <v>600</v>
      </c>
      <c r="F93" s="4" t="s">
        <v>17</v>
      </c>
      <c r="G93" s="4" t="s">
        <v>20</v>
      </c>
      <c r="H93" s="4" t="str">
        <f>PROPER(TRIM(cloudSense[[#This Row],[resource_status]]))</f>
        <v>Active</v>
      </c>
      <c r="I93" s="4">
        <f>cloudSense[[#This Row],[allocated_cost]]-cloudSense[[#This Row],[actual_used_cost]]</f>
        <v>0</v>
      </c>
      <c r="J93" s="12">
        <f>((cloudSense[[#This Row],[allocated_cost]]-cloudSense[[#This Row],[actual_used_cost]])/cloudSense[[#This Row],[allocated_cost]]*100)*0.01</f>
        <v>0</v>
      </c>
      <c r="K93" s="13">
        <f>IF('cloudSense'!E93="",AVERAGE('cloudSense'!$E$2:$E$201),'cloudSense'!E93)</f>
        <v>82</v>
      </c>
    </row>
    <row r="94" spans="1:11" x14ac:dyDescent="0.3">
      <c r="A94" s="10">
        <v>93</v>
      </c>
      <c r="B94" s="11">
        <v>45704</v>
      </c>
      <c r="C94" s="4">
        <v>15</v>
      </c>
      <c r="D94" s="4">
        <v>200</v>
      </c>
      <c r="E94" s="4">
        <v>40</v>
      </c>
      <c r="F94" s="4" t="s">
        <v>28</v>
      </c>
      <c r="G94" s="4" t="s">
        <v>13</v>
      </c>
      <c r="H94" s="4" t="str">
        <f>PROPER(TRIM(cloudSense[[#This Row],[resource_status]]))</f>
        <v>Idle</v>
      </c>
      <c r="I94" s="4">
        <f>cloudSense[[#This Row],[allocated_cost]]-cloudSense[[#This Row],[actual_used_cost]]</f>
        <v>160</v>
      </c>
      <c r="J94" s="12">
        <f>((cloudSense[[#This Row],[allocated_cost]]-cloudSense[[#This Row],[actual_used_cost]])/cloudSense[[#This Row],[allocated_cost]]*100)*0.01</f>
        <v>0.8</v>
      </c>
      <c r="K94" s="13">
        <f>IF('cloudSense'!E94="",AVERAGE('cloudSense'!$E$2:$E$201),'cloudSense'!E94)</f>
        <v>3</v>
      </c>
    </row>
    <row r="95" spans="1:11" x14ac:dyDescent="0.3">
      <c r="A95" s="10">
        <v>94</v>
      </c>
      <c r="B95" s="11">
        <v>45704</v>
      </c>
      <c r="C95" s="4">
        <v>545</v>
      </c>
      <c r="D95" s="4">
        <v>700</v>
      </c>
      <c r="E95" s="4">
        <v>699</v>
      </c>
      <c r="F95" s="4" t="s">
        <v>12</v>
      </c>
      <c r="G95" s="4" t="s">
        <v>13</v>
      </c>
      <c r="H95" s="4" t="str">
        <f>PROPER(TRIM(cloudSense[[#This Row],[resource_status]]))</f>
        <v>Active</v>
      </c>
      <c r="I95" s="4">
        <f>cloudSense[[#This Row],[allocated_cost]]-cloudSense[[#This Row],[actual_used_cost]]</f>
        <v>1</v>
      </c>
      <c r="J95" s="12">
        <f>((cloudSense[[#This Row],[allocated_cost]]-cloudSense[[#This Row],[actual_used_cost]])/cloudSense[[#This Row],[allocated_cost]]*100)*0.01</f>
        <v>1.4285714285714286E-3</v>
      </c>
      <c r="K95" s="13">
        <f>IF('cloudSense'!E95="",AVERAGE('cloudSense'!$E$2:$E$201),'cloudSense'!E95)</f>
        <v>93</v>
      </c>
    </row>
    <row r="96" spans="1:11" x14ac:dyDescent="0.3">
      <c r="A96" s="10">
        <v>95</v>
      </c>
      <c r="B96" s="11">
        <v>45705</v>
      </c>
      <c r="C96" s="4">
        <v>165</v>
      </c>
      <c r="D96" s="4">
        <v>500</v>
      </c>
      <c r="E96" s="4">
        <v>285</v>
      </c>
      <c r="F96" s="4" t="s">
        <v>9</v>
      </c>
      <c r="G96" s="4" t="s">
        <v>10</v>
      </c>
      <c r="H96" s="4" t="str">
        <f>PROPER(TRIM(cloudSense[[#This Row],[resource_status]]))</f>
        <v>Active</v>
      </c>
      <c r="I96" s="4">
        <f>cloudSense[[#This Row],[allocated_cost]]-cloudSense[[#This Row],[actual_used_cost]]</f>
        <v>215</v>
      </c>
      <c r="J96" s="12">
        <f>((cloudSense[[#This Row],[allocated_cost]]-cloudSense[[#This Row],[actual_used_cost]])/cloudSense[[#This Row],[allocated_cost]]*100)*0.01</f>
        <v>0.43</v>
      </c>
      <c r="K96" s="13">
        <f>IF('cloudSense'!E96="",AVERAGE('cloudSense'!$E$2:$E$201),'cloudSense'!E96)</f>
        <v>33</v>
      </c>
    </row>
    <row r="97" spans="1:11" x14ac:dyDescent="0.3">
      <c r="A97" s="10">
        <v>96</v>
      </c>
      <c r="B97" s="11">
        <v>45705</v>
      </c>
      <c r="C97" s="4">
        <v>285</v>
      </c>
      <c r="D97" s="4">
        <v>600</v>
      </c>
      <c r="E97" s="4">
        <v>400</v>
      </c>
      <c r="F97" s="4" t="s">
        <v>17</v>
      </c>
      <c r="G97" s="4" t="s">
        <v>18</v>
      </c>
      <c r="H97" s="4" t="str">
        <f>PROPER(TRIM(cloudSense[[#This Row],[resource_status]]))</f>
        <v>Idle</v>
      </c>
      <c r="I97" s="4">
        <f>cloudSense[[#This Row],[allocated_cost]]-cloudSense[[#This Row],[actual_used_cost]]</f>
        <v>200</v>
      </c>
      <c r="J97" s="12">
        <f>((cloudSense[[#This Row],[allocated_cost]]-cloudSense[[#This Row],[actual_used_cost]])/cloudSense[[#This Row],[allocated_cost]]*100)*0.01</f>
        <v>0.33333333333333331</v>
      </c>
      <c r="K97" s="13">
        <f>IF('cloudSense'!E97="",AVERAGE('cloudSense'!$E$2:$E$201),'cloudSense'!E97)</f>
        <v>47.111111111111114</v>
      </c>
    </row>
    <row r="98" spans="1:11" x14ac:dyDescent="0.3">
      <c r="A98" s="10">
        <v>97</v>
      </c>
      <c r="B98" s="11">
        <v>45706</v>
      </c>
      <c r="C98" s="4">
        <v>26</v>
      </c>
      <c r="D98" s="4">
        <v>200</v>
      </c>
      <c r="E98" s="4">
        <v>58</v>
      </c>
      <c r="F98" s="4" t="s">
        <v>28</v>
      </c>
      <c r="G98" s="4" t="s">
        <v>20</v>
      </c>
      <c r="H98" s="4" t="str">
        <f>PROPER(TRIM(cloudSense[[#This Row],[resource_status]]))</f>
        <v>Idle</v>
      </c>
      <c r="I98" s="4">
        <f>cloudSense[[#This Row],[allocated_cost]]-cloudSense[[#This Row],[actual_used_cost]]</f>
        <v>142</v>
      </c>
      <c r="J98" s="12">
        <f>((cloudSense[[#This Row],[allocated_cost]]-cloudSense[[#This Row],[actual_used_cost]])/cloudSense[[#This Row],[allocated_cost]]*100)*0.01</f>
        <v>0.71</v>
      </c>
      <c r="K98" s="13">
        <f>IF('cloudSense'!E98="",AVERAGE('cloudSense'!$E$2:$E$201),'cloudSense'!E98)</f>
        <v>6</v>
      </c>
    </row>
    <row r="99" spans="1:11" x14ac:dyDescent="0.3">
      <c r="A99" s="10">
        <v>98</v>
      </c>
      <c r="B99" s="11">
        <v>45706</v>
      </c>
      <c r="C99" s="4">
        <v>575</v>
      </c>
      <c r="D99" s="4">
        <v>700</v>
      </c>
      <c r="E99" s="4">
        <v>700</v>
      </c>
      <c r="F99" s="4" t="s">
        <v>12</v>
      </c>
      <c r="G99" s="4" t="s">
        <v>13</v>
      </c>
      <c r="H99" s="4" t="str">
        <f>PROPER(TRIM(cloudSense[[#This Row],[resource_status]]))</f>
        <v>Active</v>
      </c>
      <c r="I99" s="4">
        <f>cloudSense[[#This Row],[allocated_cost]]-cloudSense[[#This Row],[actual_used_cost]]</f>
        <v>0</v>
      </c>
      <c r="J99" s="12">
        <f>((cloudSense[[#This Row],[allocated_cost]]-cloudSense[[#This Row],[actual_used_cost]])/cloudSense[[#This Row],[allocated_cost]]*100)*0.01</f>
        <v>0</v>
      </c>
      <c r="K99" s="13">
        <f>IF('cloudSense'!E99="",AVERAGE('cloudSense'!$E$2:$E$201),'cloudSense'!E99)</f>
        <v>96</v>
      </c>
    </row>
    <row r="100" spans="1:11" x14ac:dyDescent="0.3">
      <c r="A100" s="10">
        <v>99</v>
      </c>
      <c r="B100" s="11">
        <v>45707</v>
      </c>
      <c r="C100" s="4">
        <v>112</v>
      </c>
      <c r="D100" s="4">
        <v>500</v>
      </c>
      <c r="E100" s="4">
        <v>180</v>
      </c>
      <c r="F100" s="4" t="s">
        <v>9</v>
      </c>
      <c r="G100" s="4" t="s">
        <v>10</v>
      </c>
      <c r="H100" s="4" t="str">
        <f>PROPER(TRIM(cloudSense[[#This Row],[resource_status]]))</f>
        <v>Idle</v>
      </c>
      <c r="I100" s="4">
        <f>cloudSense[[#This Row],[allocated_cost]]-cloudSense[[#This Row],[actual_used_cost]]</f>
        <v>320</v>
      </c>
      <c r="J100" s="12">
        <f>((cloudSense[[#This Row],[allocated_cost]]-cloudSense[[#This Row],[actual_used_cost]])/cloudSense[[#This Row],[allocated_cost]]*100)*0.01</f>
        <v>0.64</v>
      </c>
      <c r="K100" s="13">
        <f>IF('cloudSense'!E100="",AVERAGE('cloudSense'!$E$2:$E$201),'cloudSense'!E100)</f>
        <v>18</v>
      </c>
    </row>
    <row r="101" spans="1:11" x14ac:dyDescent="0.3">
      <c r="A101" s="10">
        <v>100</v>
      </c>
      <c r="B101" s="11">
        <v>45707</v>
      </c>
      <c r="C101" s="4">
        <v>322</v>
      </c>
      <c r="D101" s="4">
        <v>600</v>
      </c>
      <c r="E101" s="4">
        <v>582</v>
      </c>
      <c r="F101" s="4" t="s">
        <v>17</v>
      </c>
      <c r="G101" s="4" t="s">
        <v>18</v>
      </c>
      <c r="H101" s="4" t="str">
        <f>PROPER(TRIM(cloudSense[[#This Row],[resource_status]]))</f>
        <v>Active</v>
      </c>
      <c r="I101" s="4">
        <f>cloudSense[[#This Row],[allocated_cost]]-cloudSense[[#This Row],[actual_used_cost]]</f>
        <v>18</v>
      </c>
      <c r="J101" s="12">
        <f>((cloudSense[[#This Row],[allocated_cost]]-cloudSense[[#This Row],[actual_used_cost]])/cloudSense[[#This Row],[allocated_cost]]*100)*0.01</f>
        <v>0.03</v>
      </c>
      <c r="K101" s="13">
        <f>IF('cloudSense'!E101="",AVERAGE('cloudSense'!$E$2:$E$201),'cloudSense'!E101)</f>
        <v>68</v>
      </c>
    </row>
    <row r="102" spans="1:11" x14ac:dyDescent="0.3">
      <c r="A102" s="10">
        <v>101</v>
      </c>
      <c r="B102" s="11">
        <v>45708</v>
      </c>
      <c r="C102" s="4">
        <v>172</v>
      </c>
      <c r="D102" s="4">
        <v>500</v>
      </c>
      <c r="E102" s="4">
        <v>300</v>
      </c>
      <c r="F102" s="4" t="s">
        <v>9</v>
      </c>
      <c r="G102" s="4" t="s">
        <v>10</v>
      </c>
      <c r="H102" s="4" t="str">
        <f>PROPER(TRIM(cloudSense[[#This Row],[resource_status]]))</f>
        <v>Active</v>
      </c>
      <c r="I102" s="4">
        <f>cloudSense[[#This Row],[allocated_cost]]-cloudSense[[#This Row],[actual_used_cost]]</f>
        <v>200</v>
      </c>
      <c r="J102" s="12">
        <f>((cloudSense[[#This Row],[allocated_cost]]-cloudSense[[#This Row],[actual_used_cost]])/cloudSense[[#This Row],[allocated_cost]]*100)*0.01</f>
        <v>0.4</v>
      </c>
      <c r="K102" s="13">
        <f>IF('cloudSense'!E102="",AVERAGE('cloudSense'!$E$2:$E$201),'cloudSense'!E102)</f>
        <v>36</v>
      </c>
    </row>
    <row r="103" spans="1:11" x14ac:dyDescent="0.3">
      <c r="A103" s="10">
        <v>102</v>
      </c>
      <c r="B103" s="11">
        <v>45708</v>
      </c>
      <c r="C103" s="4">
        <v>455</v>
      </c>
      <c r="D103" s="4">
        <v>700</v>
      </c>
      <c r="E103" s="4">
        <v>645</v>
      </c>
      <c r="F103" s="4" t="s">
        <v>12</v>
      </c>
      <c r="G103" s="4" t="s">
        <v>13</v>
      </c>
      <c r="H103" s="4" t="str">
        <f>PROPER(TRIM(cloudSense[[#This Row],[resource_status]]))</f>
        <v>Active</v>
      </c>
      <c r="I103" s="4">
        <f>cloudSense[[#This Row],[allocated_cost]]-cloudSense[[#This Row],[actual_used_cost]]</f>
        <v>55</v>
      </c>
      <c r="J103" s="12">
        <f>((cloudSense[[#This Row],[allocated_cost]]-cloudSense[[#This Row],[actual_used_cost]])/cloudSense[[#This Row],[allocated_cost]]*100)*0.01</f>
        <v>7.857142857142857E-2</v>
      </c>
      <c r="K103" s="13">
        <f>IF('cloudSense'!E103="",AVERAGE('cloudSense'!$E$2:$E$201),'cloudSense'!E103)</f>
        <v>76</v>
      </c>
    </row>
    <row r="104" spans="1:11" x14ac:dyDescent="0.3">
      <c r="A104" s="10">
        <v>103</v>
      </c>
      <c r="B104" s="11">
        <v>45709</v>
      </c>
      <c r="C104" s="4">
        <v>104</v>
      </c>
      <c r="D104" s="4">
        <v>500</v>
      </c>
      <c r="E104" s="4">
        <v>125</v>
      </c>
      <c r="F104" s="4" t="s">
        <v>9</v>
      </c>
      <c r="G104" s="4" t="s">
        <v>10</v>
      </c>
      <c r="H104" s="4" t="str">
        <f>PROPER(TRIM(cloudSense[[#This Row],[resource_status]]))</f>
        <v>Idle</v>
      </c>
      <c r="I104" s="4">
        <f>cloudSense[[#This Row],[allocated_cost]]-cloudSense[[#This Row],[actual_used_cost]]</f>
        <v>375</v>
      </c>
      <c r="J104" s="12">
        <f>((cloudSense[[#This Row],[allocated_cost]]-cloudSense[[#This Row],[actual_used_cost]])/cloudSense[[#This Row],[allocated_cost]]*100)*0.01</f>
        <v>0.75</v>
      </c>
      <c r="K104" s="13">
        <f>IF('cloudSense'!E104="",AVERAGE('cloudSense'!$E$2:$E$201),'cloudSense'!E104)</f>
        <v>14</v>
      </c>
    </row>
    <row r="105" spans="1:11" x14ac:dyDescent="0.3">
      <c r="A105" s="10">
        <v>104</v>
      </c>
      <c r="B105" s="11">
        <v>45709</v>
      </c>
      <c r="C105" s="4">
        <v>308</v>
      </c>
      <c r="D105" s="4">
        <v>600</v>
      </c>
      <c r="E105" s="4">
        <v>518</v>
      </c>
      <c r="F105" s="4" t="s">
        <v>17</v>
      </c>
      <c r="G105" s="4" t="s">
        <v>18</v>
      </c>
      <c r="H105" s="4" t="str">
        <f>PROPER(TRIM(cloudSense[[#This Row],[resource_status]]))</f>
        <v>Active</v>
      </c>
      <c r="I105" s="4">
        <f>cloudSense[[#This Row],[allocated_cost]]-cloudSense[[#This Row],[actual_used_cost]]</f>
        <v>82</v>
      </c>
      <c r="J105" s="12">
        <f>((cloudSense[[#This Row],[allocated_cost]]-cloudSense[[#This Row],[actual_used_cost]])/cloudSense[[#This Row],[allocated_cost]]*100)*0.01</f>
        <v>0.13666666666666666</v>
      </c>
      <c r="K105" s="13">
        <f>IF('cloudSense'!E105="",AVERAGE('cloudSense'!$E$2:$E$201),'cloudSense'!E105)</f>
        <v>61</v>
      </c>
    </row>
    <row r="106" spans="1:11" x14ac:dyDescent="0.3">
      <c r="A106" s="10">
        <v>105</v>
      </c>
      <c r="B106" s="11">
        <v>45710</v>
      </c>
      <c r="C106" s="4">
        <v>24</v>
      </c>
      <c r="D106" s="4">
        <v>200</v>
      </c>
      <c r="E106" s="4">
        <v>54</v>
      </c>
      <c r="F106" s="4" t="s">
        <v>28</v>
      </c>
      <c r="G106" s="4" t="s">
        <v>20</v>
      </c>
      <c r="H106" s="4" t="str">
        <f>PROPER(TRIM(cloudSense[[#This Row],[resource_status]]))</f>
        <v>Idle</v>
      </c>
      <c r="I106" s="4">
        <f>cloudSense[[#This Row],[allocated_cost]]-cloudSense[[#This Row],[actual_used_cost]]</f>
        <v>146</v>
      </c>
      <c r="J106" s="12">
        <f>((cloudSense[[#This Row],[allocated_cost]]-cloudSense[[#This Row],[actual_used_cost]])/cloudSense[[#This Row],[allocated_cost]]*100)*0.01</f>
        <v>0.73</v>
      </c>
      <c r="K106" s="13">
        <f>IF('cloudSense'!E106="",AVERAGE('cloudSense'!$E$2:$E$201),'cloudSense'!E106)</f>
        <v>5</v>
      </c>
    </row>
    <row r="107" spans="1:11" x14ac:dyDescent="0.3">
      <c r="A107" s="10">
        <v>106</v>
      </c>
      <c r="B107" s="11">
        <v>45710</v>
      </c>
      <c r="C107" s="4">
        <v>498</v>
      </c>
      <c r="D107" s="4">
        <v>700</v>
      </c>
      <c r="E107" s="4">
        <v>668</v>
      </c>
      <c r="F107" s="4" t="s">
        <v>12</v>
      </c>
      <c r="G107" s="4" t="s">
        <v>13</v>
      </c>
      <c r="H107" s="4" t="str">
        <f>PROPER(TRIM(cloudSense[[#This Row],[resource_status]]))</f>
        <v>Active</v>
      </c>
      <c r="I107" s="4">
        <f>cloudSense[[#This Row],[allocated_cost]]-cloudSense[[#This Row],[actual_used_cost]]</f>
        <v>32</v>
      </c>
      <c r="J107" s="12">
        <f>((cloudSense[[#This Row],[allocated_cost]]-cloudSense[[#This Row],[actual_used_cost]])/cloudSense[[#This Row],[allocated_cost]]*100)*0.01</f>
        <v>4.5714285714285714E-2</v>
      </c>
      <c r="K107" s="13">
        <f>IF('cloudSense'!E107="",AVERAGE('cloudSense'!$E$2:$E$201),'cloudSense'!E107)</f>
        <v>85</v>
      </c>
    </row>
    <row r="108" spans="1:11" x14ac:dyDescent="0.3">
      <c r="A108" s="10">
        <v>107</v>
      </c>
      <c r="B108" s="11">
        <v>45711</v>
      </c>
      <c r="C108" s="4">
        <v>182</v>
      </c>
      <c r="D108" s="4">
        <v>500</v>
      </c>
      <c r="E108" s="4">
        <v>345</v>
      </c>
      <c r="F108" s="4" t="s">
        <v>9</v>
      </c>
      <c r="G108" s="4" t="s">
        <v>10</v>
      </c>
      <c r="H108" s="4" t="str">
        <f>PROPER(TRIM(cloudSense[[#This Row],[resource_status]]))</f>
        <v>Active</v>
      </c>
      <c r="I108" s="4">
        <f>cloudSense[[#This Row],[allocated_cost]]-cloudSense[[#This Row],[actual_used_cost]]</f>
        <v>155</v>
      </c>
      <c r="J108" s="12">
        <f>((cloudSense[[#This Row],[allocated_cost]]-cloudSense[[#This Row],[actual_used_cost]])/cloudSense[[#This Row],[allocated_cost]]*100)*0.01</f>
        <v>0.31</v>
      </c>
      <c r="K108" s="13">
        <f>IF('cloudSense'!E108="",AVERAGE('cloudSense'!$E$2:$E$201),'cloudSense'!E108)</f>
        <v>40</v>
      </c>
    </row>
    <row r="109" spans="1:11" x14ac:dyDescent="0.3">
      <c r="A109" s="10">
        <v>108</v>
      </c>
      <c r="B109" s="11">
        <v>45711</v>
      </c>
      <c r="C109" s="4">
        <v>230</v>
      </c>
      <c r="D109" s="4">
        <v>600</v>
      </c>
      <c r="E109" s="4">
        <v>185</v>
      </c>
      <c r="F109" s="4" t="s">
        <v>17</v>
      </c>
      <c r="G109" s="4" t="s">
        <v>18</v>
      </c>
      <c r="H109" s="4" t="str">
        <f>PROPER(TRIM(cloudSense[[#This Row],[resource_status]]))</f>
        <v>Idle</v>
      </c>
      <c r="I109" s="4">
        <f>cloudSense[[#This Row],[allocated_cost]]-cloudSense[[#This Row],[actual_used_cost]]</f>
        <v>415</v>
      </c>
      <c r="J109" s="12">
        <f>((cloudSense[[#This Row],[allocated_cost]]-cloudSense[[#This Row],[actual_used_cost]])/cloudSense[[#This Row],[allocated_cost]]*100)*0.01</f>
        <v>0.69166666666666676</v>
      </c>
      <c r="K109" s="13">
        <f>IF('cloudSense'!E109="",AVERAGE('cloudSense'!$E$2:$E$201),'cloudSense'!E109)</f>
        <v>25</v>
      </c>
    </row>
    <row r="110" spans="1:11" x14ac:dyDescent="0.3">
      <c r="A110" s="10">
        <v>109</v>
      </c>
      <c r="B110" s="11">
        <v>45712</v>
      </c>
      <c r="C110" s="4">
        <v>278</v>
      </c>
      <c r="D110" s="4">
        <v>500</v>
      </c>
      <c r="E110" s="4">
        <v>482</v>
      </c>
      <c r="F110" s="4" t="s">
        <v>9</v>
      </c>
      <c r="G110" s="4" t="s">
        <v>10</v>
      </c>
      <c r="H110" s="4" t="str">
        <f>PROPER(TRIM(cloudSense[[#This Row],[resource_status]]))</f>
        <v>Active</v>
      </c>
      <c r="I110" s="4">
        <f>cloudSense[[#This Row],[allocated_cost]]-cloudSense[[#This Row],[actual_used_cost]]</f>
        <v>18</v>
      </c>
      <c r="J110" s="12">
        <f>((cloudSense[[#This Row],[allocated_cost]]-cloudSense[[#This Row],[actual_used_cost]])/cloudSense[[#This Row],[allocated_cost]]*100)*0.01</f>
        <v>3.5999999999999997E-2</v>
      </c>
      <c r="K110" s="13">
        <f>IF('cloudSense'!E110="",AVERAGE('cloudSense'!$E$2:$E$201),'cloudSense'!E110)</f>
        <v>91</v>
      </c>
    </row>
    <row r="111" spans="1:11" x14ac:dyDescent="0.3">
      <c r="A111" s="10">
        <v>110</v>
      </c>
      <c r="B111" s="11">
        <v>45712</v>
      </c>
      <c r="C111" s="4">
        <v>528</v>
      </c>
      <c r="D111" s="4">
        <v>700</v>
      </c>
      <c r="E111" s="4">
        <v>445</v>
      </c>
      <c r="F111" s="4" t="s">
        <v>12</v>
      </c>
      <c r="G111" s="4" t="s">
        <v>13</v>
      </c>
      <c r="H111" s="4" t="str">
        <f>PROPER(TRIM(cloudSense[[#This Row],[resource_status]]))</f>
        <v>Active</v>
      </c>
      <c r="I111" s="4">
        <f>cloudSense[[#This Row],[allocated_cost]]-cloudSense[[#This Row],[actual_used_cost]]</f>
        <v>255</v>
      </c>
      <c r="J111" s="12">
        <f>((cloudSense[[#This Row],[allocated_cost]]-cloudSense[[#This Row],[actual_used_cost]])/cloudSense[[#This Row],[allocated_cost]]*100)*0.01</f>
        <v>0.36428571428571427</v>
      </c>
      <c r="K111" s="13">
        <f>IF('cloudSense'!E111="",AVERAGE('cloudSense'!$E$2:$E$201),'cloudSense'!E111)</f>
        <v>58</v>
      </c>
    </row>
    <row r="112" spans="1:11" x14ac:dyDescent="0.3">
      <c r="A112" s="10">
        <v>111</v>
      </c>
      <c r="B112" s="11">
        <v>45713</v>
      </c>
      <c r="C112" s="4">
        <v>99</v>
      </c>
      <c r="D112" s="4">
        <v>500</v>
      </c>
      <c r="E112" s="4">
        <v>115</v>
      </c>
      <c r="F112" s="4" t="s">
        <v>9</v>
      </c>
      <c r="G112" s="4" t="s">
        <v>10</v>
      </c>
      <c r="H112" s="4" t="str">
        <f>PROPER(TRIM(cloudSense[[#This Row],[resource_status]]))</f>
        <v>Idle</v>
      </c>
      <c r="I112" s="4">
        <f>cloudSense[[#This Row],[allocated_cost]]-cloudSense[[#This Row],[actual_used_cost]]</f>
        <v>385</v>
      </c>
      <c r="J112" s="12">
        <f>((cloudSense[[#This Row],[allocated_cost]]-cloudSense[[#This Row],[actual_used_cost]])/cloudSense[[#This Row],[allocated_cost]]*100)*0.01</f>
        <v>0.77</v>
      </c>
      <c r="K112" s="13">
        <f>IF('cloudSense'!E112="",AVERAGE('cloudSense'!$E$2:$E$201),'cloudSense'!E112)</f>
        <v>13</v>
      </c>
    </row>
    <row r="113" spans="1:11" x14ac:dyDescent="0.3">
      <c r="A113" s="10">
        <v>112</v>
      </c>
      <c r="B113" s="11">
        <v>45713</v>
      </c>
      <c r="C113" s="4">
        <v>385</v>
      </c>
      <c r="D113" s="4">
        <v>600</v>
      </c>
      <c r="E113" s="4">
        <v>600</v>
      </c>
      <c r="F113" s="4" t="s">
        <v>17</v>
      </c>
      <c r="G113" s="4" t="s">
        <v>20</v>
      </c>
      <c r="H113" s="4" t="str">
        <f>PROPER(TRIM(cloudSense[[#This Row],[resource_status]]))</f>
        <v>Active</v>
      </c>
      <c r="I113" s="4">
        <f>cloudSense[[#This Row],[allocated_cost]]-cloudSense[[#This Row],[actual_used_cost]]</f>
        <v>0</v>
      </c>
      <c r="J113" s="12">
        <f>((cloudSense[[#This Row],[allocated_cost]]-cloudSense[[#This Row],[actual_used_cost]])/cloudSense[[#This Row],[allocated_cost]]*100)*0.01</f>
        <v>0</v>
      </c>
      <c r="K113" s="13">
        <f>IF('cloudSense'!E113="",AVERAGE('cloudSense'!$E$2:$E$201),'cloudSense'!E113)</f>
        <v>84</v>
      </c>
    </row>
    <row r="114" spans="1:11" x14ac:dyDescent="0.3">
      <c r="A114" s="10">
        <v>113</v>
      </c>
      <c r="B114" s="11">
        <v>45714</v>
      </c>
      <c r="C114" s="4">
        <v>17</v>
      </c>
      <c r="D114" s="4">
        <v>200</v>
      </c>
      <c r="E114" s="4">
        <v>43</v>
      </c>
      <c r="F114" s="4" t="s">
        <v>28</v>
      </c>
      <c r="G114" s="4" t="s">
        <v>13</v>
      </c>
      <c r="H114" s="4" t="str">
        <f>PROPER(TRIM(cloudSense[[#This Row],[resource_status]]))</f>
        <v>Idle</v>
      </c>
      <c r="I114" s="4">
        <f>cloudSense[[#This Row],[allocated_cost]]-cloudSense[[#This Row],[actual_used_cost]]</f>
        <v>157</v>
      </c>
      <c r="J114" s="12">
        <f>((cloudSense[[#This Row],[allocated_cost]]-cloudSense[[#This Row],[actual_used_cost]])/cloudSense[[#This Row],[allocated_cost]]*100)*0.01</f>
        <v>0.78500000000000003</v>
      </c>
      <c r="K114" s="13">
        <f>IF('cloudSense'!E114="",AVERAGE('cloudSense'!$E$2:$E$201),'cloudSense'!E114)</f>
        <v>4</v>
      </c>
    </row>
    <row r="115" spans="1:11" x14ac:dyDescent="0.3">
      <c r="A115" s="10">
        <v>114</v>
      </c>
      <c r="B115" s="11">
        <v>45714</v>
      </c>
      <c r="C115" s="4">
        <v>548</v>
      </c>
      <c r="D115" s="4">
        <v>700</v>
      </c>
      <c r="E115" s="4">
        <v>699</v>
      </c>
      <c r="F115" s="4" t="s">
        <v>12</v>
      </c>
      <c r="G115" s="4" t="s">
        <v>13</v>
      </c>
      <c r="H115" s="4" t="str">
        <f>PROPER(TRIM(cloudSense[[#This Row],[resource_status]]))</f>
        <v>Active</v>
      </c>
      <c r="I115" s="4">
        <f>cloudSense[[#This Row],[allocated_cost]]-cloudSense[[#This Row],[actual_used_cost]]</f>
        <v>1</v>
      </c>
      <c r="J115" s="12">
        <f>((cloudSense[[#This Row],[allocated_cost]]-cloudSense[[#This Row],[actual_used_cost]])/cloudSense[[#This Row],[allocated_cost]]*100)*0.01</f>
        <v>1.4285714285714286E-3</v>
      </c>
      <c r="K115" s="13">
        <f>IF('cloudSense'!E115="",AVERAGE('cloudSense'!$E$2:$E$201),'cloudSense'!E115)</f>
        <v>94</v>
      </c>
    </row>
    <row r="116" spans="1:11" x14ac:dyDescent="0.3">
      <c r="A116" s="10">
        <v>115</v>
      </c>
      <c r="B116" s="11">
        <v>45715</v>
      </c>
      <c r="C116" s="4">
        <v>168</v>
      </c>
      <c r="D116" s="4">
        <v>500</v>
      </c>
      <c r="E116" s="4">
        <v>290</v>
      </c>
      <c r="F116" s="4" t="s">
        <v>9</v>
      </c>
      <c r="G116" s="4" t="s">
        <v>10</v>
      </c>
      <c r="H116" s="4" t="str">
        <f>PROPER(TRIM(cloudSense[[#This Row],[resource_status]]))</f>
        <v>Active</v>
      </c>
      <c r="I116" s="4">
        <f>cloudSense[[#This Row],[allocated_cost]]-cloudSense[[#This Row],[actual_used_cost]]</f>
        <v>210</v>
      </c>
      <c r="J116" s="12">
        <f>((cloudSense[[#This Row],[allocated_cost]]-cloudSense[[#This Row],[actual_used_cost]])/cloudSense[[#This Row],[allocated_cost]]*100)*0.01</f>
        <v>0.42</v>
      </c>
      <c r="K116" s="13">
        <f>IF('cloudSense'!E116="",AVERAGE('cloudSense'!$E$2:$E$201),'cloudSense'!E116)</f>
        <v>34</v>
      </c>
    </row>
    <row r="117" spans="1:11" x14ac:dyDescent="0.3">
      <c r="A117" s="10">
        <v>116</v>
      </c>
      <c r="B117" s="11">
        <v>45715</v>
      </c>
      <c r="C117" s="4">
        <v>288</v>
      </c>
      <c r="D117" s="4">
        <v>600</v>
      </c>
      <c r="E117" s="4">
        <v>402</v>
      </c>
      <c r="F117" s="4" t="s">
        <v>17</v>
      </c>
      <c r="G117" s="4" t="s">
        <v>18</v>
      </c>
      <c r="H117" s="4" t="str">
        <f>PROPER(TRIM(cloudSense[[#This Row],[resource_status]]))</f>
        <v>Idle</v>
      </c>
      <c r="I117" s="4">
        <f>cloudSense[[#This Row],[allocated_cost]]-cloudSense[[#This Row],[actual_used_cost]]</f>
        <v>198</v>
      </c>
      <c r="J117" s="12">
        <f>((cloudSense[[#This Row],[allocated_cost]]-cloudSense[[#This Row],[actual_used_cost]])/cloudSense[[#This Row],[allocated_cost]]*100)*0.01</f>
        <v>0.33</v>
      </c>
      <c r="K117" s="13">
        <f>IF('cloudSense'!E117="",AVERAGE('cloudSense'!$E$2:$E$201),'cloudSense'!E117)</f>
        <v>47.111111111111114</v>
      </c>
    </row>
    <row r="118" spans="1:11" x14ac:dyDescent="0.3">
      <c r="A118" s="10">
        <v>117</v>
      </c>
      <c r="B118" s="11">
        <v>45716</v>
      </c>
      <c r="C118" s="4">
        <v>28</v>
      </c>
      <c r="D118" s="4">
        <v>200</v>
      </c>
      <c r="E118" s="4">
        <v>60</v>
      </c>
      <c r="F118" s="4" t="s">
        <v>28</v>
      </c>
      <c r="G118" s="4" t="s">
        <v>20</v>
      </c>
      <c r="H118" s="4" t="str">
        <f>PROPER(TRIM(cloudSense[[#This Row],[resource_status]]))</f>
        <v>Idle</v>
      </c>
      <c r="I118" s="4">
        <f>cloudSense[[#This Row],[allocated_cost]]-cloudSense[[#This Row],[actual_used_cost]]</f>
        <v>140</v>
      </c>
      <c r="J118" s="12">
        <f>((cloudSense[[#This Row],[allocated_cost]]-cloudSense[[#This Row],[actual_used_cost]])/cloudSense[[#This Row],[allocated_cost]]*100)*0.01</f>
        <v>0.70000000000000007</v>
      </c>
      <c r="K118" s="13">
        <f>IF('cloudSense'!E118="",AVERAGE('cloudSense'!$E$2:$E$201),'cloudSense'!E118)</f>
        <v>7</v>
      </c>
    </row>
    <row r="119" spans="1:11" x14ac:dyDescent="0.3">
      <c r="A119" s="10">
        <v>118</v>
      </c>
      <c r="B119" s="11">
        <v>45716</v>
      </c>
      <c r="C119" s="4">
        <v>578</v>
      </c>
      <c r="D119" s="4">
        <v>700</v>
      </c>
      <c r="E119" s="4">
        <v>700</v>
      </c>
      <c r="F119" s="4" t="s">
        <v>12</v>
      </c>
      <c r="G119" s="4" t="s">
        <v>13</v>
      </c>
      <c r="H119" s="4" t="str">
        <f>PROPER(TRIM(cloudSense[[#This Row],[resource_status]]))</f>
        <v>Active</v>
      </c>
      <c r="I119" s="4">
        <f>cloudSense[[#This Row],[allocated_cost]]-cloudSense[[#This Row],[actual_used_cost]]</f>
        <v>0</v>
      </c>
      <c r="J119" s="12">
        <f>((cloudSense[[#This Row],[allocated_cost]]-cloudSense[[#This Row],[actual_used_cost]])/cloudSense[[#This Row],[allocated_cost]]*100)*0.01</f>
        <v>0</v>
      </c>
      <c r="K119" s="13">
        <f>IF('cloudSense'!E119="",AVERAGE('cloudSense'!$E$2:$E$201),'cloudSense'!E119)</f>
        <v>97</v>
      </c>
    </row>
    <row r="120" spans="1:11" x14ac:dyDescent="0.3">
      <c r="A120" s="10">
        <v>119</v>
      </c>
      <c r="B120" s="11">
        <v>45717</v>
      </c>
      <c r="C120" s="4">
        <v>115</v>
      </c>
      <c r="D120" s="4">
        <v>500</v>
      </c>
      <c r="E120" s="4">
        <v>185</v>
      </c>
      <c r="F120" s="4" t="s">
        <v>9</v>
      </c>
      <c r="G120" s="4" t="s">
        <v>10</v>
      </c>
      <c r="H120" s="4" t="str">
        <f>PROPER(TRIM(cloudSense[[#This Row],[resource_status]]))</f>
        <v>Idle</v>
      </c>
      <c r="I120" s="4">
        <f>cloudSense[[#This Row],[allocated_cost]]-cloudSense[[#This Row],[actual_used_cost]]</f>
        <v>315</v>
      </c>
      <c r="J120" s="12">
        <f>((cloudSense[[#This Row],[allocated_cost]]-cloudSense[[#This Row],[actual_used_cost]])/cloudSense[[#This Row],[allocated_cost]]*100)*0.01</f>
        <v>0.63</v>
      </c>
      <c r="K120" s="13">
        <f>IF('cloudSense'!E120="",AVERAGE('cloudSense'!$E$2:$E$201),'cloudSense'!E120)</f>
        <v>19</v>
      </c>
    </row>
    <row r="121" spans="1:11" x14ac:dyDescent="0.3">
      <c r="A121" s="10">
        <v>120</v>
      </c>
      <c r="B121" s="11">
        <v>45717</v>
      </c>
      <c r="C121" s="4">
        <v>325</v>
      </c>
      <c r="D121" s="4">
        <v>600</v>
      </c>
      <c r="E121" s="4">
        <v>585</v>
      </c>
      <c r="F121" s="4" t="s">
        <v>17</v>
      </c>
      <c r="G121" s="4" t="s">
        <v>18</v>
      </c>
      <c r="H121" s="4" t="str">
        <f>PROPER(TRIM(cloudSense[[#This Row],[resource_status]]))</f>
        <v>Active</v>
      </c>
      <c r="I121" s="4">
        <f>cloudSense[[#This Row],[allocated_cost]]-cloudSense[[#This Row],[actual_used_cost]]</f>
        <v>15</v>
      </c>
      <c r="J121" s="12">
        <f>((cloudSense[[#This Row],[allocated_cost]]-cloudSense[[#This Row],[actual_used_cost]])/cloudSense[[#This Row],[allocated_cost]]*100)*0.01</f>
        <v>2.5000000000000001E-2</v>
      </c>
      <c r="K121" s="13">
        <f>IF('cloudSense'!E121="",AVERAGE('cloudSense'!$E$2:$E$201),'cloudSense'!E121)</f>
        <v>70</v>
      </c>
    </row>
    <row r="122" spans="1:11" x14ac:dyDescent="0.3">
      <c r="A122" s="10">
        <v>121</v>
      </c>
      <c r="B122" s="11">
        <v>45718</v>
      </c>
      <c r="C122" s="4">
        <v>175</v>
      </c>
      <c r="D122" s="4">
        <v>500</v>
      </c>
      <c r="E122" s="4">
        <v>305</v>
      </c>
      <c r="F122" s="4" t="s">
        <v>9</v>
      </c>
      <c r="G122" s="4" t="s">
        <v>10</v>
      </c>
      <c r="H122" s="4" t="str">
        <f>PROPER(TRIM(cloudSense[[#This Row],[resource_status]]))</f>
        <v>Active</v>
      </c>
      <c r="I122" s="4">
        <f>cloudSense[[#This Row],[allocated_cost]]-cloudSense[[#This Row],[actual_used_cost]]</f>
        <v>195</v>
      </c>
      <c r="J122" s="12">
        <f>((cloudSense[[#This Row],[allocated_cost]]-cloudSense[[#This Row],[actual_used_cost]])/cloudSense[[#This Row],[allocated_cost]]*100)*0.01</f>
        <v>0.39</v>
      </c>
      <c r="K122" s="13">
        <f>IF('cloudSense'!E122="",AVERAGE('cloudSense'!$E$2:$E$201),'cloudSense'!E122)</f>
        <v>37</v>
      </c>
    </row>
    <row r="123" spans="1:11" x14ac:dyDescent="0.3">
      <c r="A123" s="10">
        <v>122</v>
      </c>
      <c r="B123" s="11">
        <v>45718</v>
      </c>
      <c r="C123" s="4">
        <v>460</v>
      </c>
      <c r="D123" s="4">
        <v>700</v>
      </c>
      <c r="E123" s="4">
        <v>650</v>
      </c>
      <c r="F123" s="4" t="s">
        <v>12</v>
      </c>
      <c r="G123" s="4" t="s">
        <v>13</v>
      </c>
      <c r="H123" s="4" t="str">
        <f>PROPER(TRIM(cloudSense[[#This Row],[resource_status]]))</f>
        <v>Active</v>
      </c>
      <c r="I123" s="4">
        <f>cloudSense[[#This Row],[allocated_cost]]-cloudSense[[#This Row],[actual_used_cost]]</f>
        <v>50</v>
      </c>
      <c r="J123" s="12">
        <f>((cloudSense[[#This Row],[allocated_cost]]-cloudSense[[#This Row],[actual_used_cost]])/cloudSense[[#This Row],[allocated_cost]]*100)*0.01</f>
        <v>7.1428571428571425E-2</v>
      </c>
      <c r="K123" s="13">
        <f>IF('cloudSense'!E123="",AVERAGE('cloudSense'!$E$2:$E$201),'cloudSense'!E123)</f>
        <v>77</v>
      </c>
    </row>
    <row r="124" spans="1:11" x14ac:dyDescent="0.3">
      <c r="A124" s="10">
        <v>123</v>
      </c>
      <c r="B124" s="11">
        <v>45719</v>
      </c>
      <c r="C124" s="4">
        <v>106</v>
      </c>
      <c r="D124" s="4">
        <v>500</v>
      </c>
      <c r="E124" s="4">
        <v>130</v>
      </c>
      <c r="F124" s="4" t="s">
        <v>9</v>
      </c>
      <c r="G124" s="4" t="s">
        <v>10</v>
      </c>
      <c r="H124" s="4" t="str">
        <f>PROPER(TRIM(cloudSense[[#This Row],[resource_status]]))</f>
        <v>Idle</v>
      </c>
      <c r="I124" s="4">
        <f>cloudSense[[#This Row],[allocated_cost]]-cloudSense[[#This Row],[actual_used_cost]]</f>
        <v>370</v>
      </c>
      <c r="J124" s="12">
        <f>((cloudSense[[#This Row],[allocated_cost]]-cloudSense[[#This Row],[actual_used_cost]])/cloudSense[[#This Row],[allocated_cost]]*100)*0.01</f>
        <v>0.74</v>
      </c>
      <c r="K124" s="13">
        <f>IF('cloudSense'!E124="",AVERAGE('cloudSense'!$E$2:$E$201),'cloudSense'!E124)</f>
        <v>15</v>
      </c>
    </row>
    <row r="125" spans="1:11" x14ac:dyDescent="0.3">
      <c r="A125" s="10">
        <v>124</v>
      </c>
      <c r="B125" s="11">
        <v>45719</v>
      </c>
      <c r="C125" s="4">
        <v>310</v>
      </c>
      <c r="D125" s="4">
        <v>600</v>
      </c>
      <c r="E125" s="4">
        <v>520</v>
      </c>
      <c r="F125" s="4" t="s">
        <v>17</v>
      </c>
      <c r="G125" s="4" t="s">
        <v>18</v>
      </c>
      <c r="H125" s="4" t="str">
        <f>PROPER(TRIM(cloudSense[[#This Row],[resource_status]]))</f>
        <v>Active</v>
      </c>
      <c r="I125" s="4">
        <f>cloudSense[[#This Row],[allocated_cost]]-cloudSense[[#This Row],[actual_used_cost]]</f>
        <v>80</v>
      </c>
      <c r="J125" s="12">
        <f>((cloudSense[[#This Row],[allocated_cost]]-cloudSense[[#This Row],[actual_used_cost]])/cloudSense[[#This Row],[allocated_cost]]*100)*0.01</f>
        <v>0.13333333333333333</v>
      </c>
      <c r="K125" s="13">
        <f>IF('cloudSense'!E125="",AVERAGE('cloudSense'!$E$2:$E$201),'cloudSense'!E125)</f>
        <v>62</v>
      </c>
    </row>
    <row r="126" spans="1:11" x14ac:dyDescent="0.3">
      <c r="A126" s="10">
        <v>125</v>
      </c>
      <c r="B126" s="11">
        <v>45720</v>
      </c>
      <c r="C126" s="4">
        <v>25</v>
      </c>
      <c r="D126" s="4">
        <v>200</v>
      </c>
      <c r="E126" s="4">
        <v>55</v>
      </c>
      <c r="F126" s="4" t="s">
        <v>28</v>
      </c>
      <c r="G126" s="4" t="s">
        <v>20</v>
      </c>
      <c r="H126" s="4" t="str">
        <f>PROPER(TRIM(cloudSense[[#This Row],[resource_status]]))</f>
        <v>Idle</v>
      </c>
      <c r="I126" s="4">
        <f>cloudSense[[#This Row],[allocated_cost]]-cloudSense[[#This Row],[actual_used_cost]]</f>
        <v>145</v>
      </c>
      <c r="J126" s="12">
        <f>((cloudSense[[#This Row],[allocated_cost]]-cloudSense[[#This Row],[actual_used_cost]])/cloudSense[[#This Row],[allocated_cost]]*100)*0.01</f>
        <v>0.72499999999999998</v>
      </c>
      <c r="K126" s="13">
        <f>IF('cloudSense'!E126="",AVERAGE('cloudSense'!$E$2:$E$201),'cloudSense'!E126)</f>
        <v>5</v>
      </c>
    </row>
    <row r="127" spans="1:11" x14ac:dyDescent="0.3">
      <c r="A127" s="10">
        <v>126</v>
      </c>
      <c r="B127" s="11">
        <v>45720</v>
      </c>
      <c r="C127" s="4">
        <v>500</v>
      </c>
      <c r="D127" s="4">
        <v>700</v>
      </c>
      <c r="E127" s="4">
        <v>670</v>
      </c>
      <c r="F127" s="4" t="s">
        <v>12</v>
      </c>
      <c r="G127" s="4" t="s">
        <v>13</v>
      </c>
      <c r="H127" s="4" t="str">
        <f>PROPER(TRIM(cloudSense[[#This Row],[resource_status]]))</f>
        <v>Active</v>
      </c>
      <c r="I127" s="4">
        <f>cloudSense[[#This Row],[allocated_cost]]-cloudSense[[#This Row],[actual_used_cost]]</f>
        <v>30</v>
      </c>
      <c r="J127" s="12">
        <f>((cloudSense[[#This Row],[allocated_cost]]-cloudSense[[#This Row],[actual_used_cost]])/cloudSense[[#This Row],[allocated_cost]]*100)*0.01</f>
        <v>4.2857142857142858E-2</v>
      </c>
      <c r="K127" s="13">
        <f>IF('cloudSense'!E127="",AVERAGE('cloudSense'!$E$2:$E$201),'cloudSense'!E127)</f>
        <v>86</v>
      </c>
    </row>
    <row r="128" spans="1:11" x14ac:dyDescent="0.3">
      <c r="A128" s="10">
        <v>127</v>
      </c>
      <c r="B128" s="11">
        <v>45721</v>
      </c>
      <c r="C128" s="4">
        <v>185</v>
      </c>
      <c r="D128" s="4">
        <v>500</v>
      </c>
      <c r="E128" s="4">
        <v>350</v>
      </c>
      <c r="F128" s="4" t="s">
        <v>9</v>
      </c>
      <c r="G128" s="4" t="s">
        <v>10</v>
      </c>
      <c r="H128" s="4" t="str">
        <f>PROPER(TRIM(cloudSense[[#This Row],[resource_status]]))</f>
        <v>Active</v>
      </c>
      <c r="I128" s="4">
        <f>cloudSense[[#This Row],[allocated_cost]]-cloudSense[[#This Row],[actual_used_cost]]</f>
        <v>150</v>
      </c>
      <c r="J128" s="12">
        <f>((cloudSense[[#This Row],[allocated_cost]]-cloudSense[[#This Row],[actual_used_cost]])/cloudSense[[#This Row],[allocated_cost]]*100)*0.01</f>
        <v>0.3</v>
      </c>
      <c r="K128" s="13">
        <f>IF('cloudSense'!E128="",AVERAGE('cloudSense'!$E$2:$E$201),'cloudSense'!E128)</f>
        <v>41</v>
      </c>
    </row>
    <row r="129" spans="1:11" x14ac:dyDescent="0.3">
      <c r="A129" s="10">
        <v>128</v>
      </c>
      <c r="B129" s="11">
        <v>45721</v>
      </c>
      <c r="C129" s="4">
        <v>235</v>
      </c>
      <c r="D129" s="4">
        <v>600</v>
      </c>
      <c r="E129" s="4">
        <v>190</v>
      </c>
      <c r="F129" s="4" t="s">
        <v>17</v>
      </c>
      <c r="G129" s="4" t="s">
        <v>18</v>
      </c>
      <c r="H129" s="4" t="str">
        <f>PROPER(TRIM(cloudSense[[#This Row],[resource_status]]))</f>
        <v>Idle</v>
      </c>
      <c r="I129" s="4">
        <f>cloudSense[[#This Row],[allocated_cost]]-cloudSense[[#This Row],[actual_used_cost]]</f>
        <v>410</v>
      </c>
      <c r="J129" s="12">
        <f>((cloudSense[[#This Row],[allocated_cost]]-cloudSense[[#This Row],[actual_used_cost]])/cloudSense[[#This Row],[allocated_cost]]*100)*0.01</f>
        <v>0.68333333333333335</v>
      </c>
      <c r="K129" s="13">
        <f>IF('cloudSense'!E129="",AVERAGE('cloudSense'!$E$2:$E$201),'cloudSense'!E129)</f>
        <v>26</v>
      </c>
    </row>
    <row r="130" spans="1:11" x14ac:dyDescent="0.3">
      <c r="A130" s="10">
        <v>129</v>
      </c>
      <c r="B130" s="11">
        <v>45722</v>
      </c>
      <c r="C130" s="4">
        <v>280</v>
      </c>
      <c r="D130" s="4">
        <v>500</v>
      </c>
      <c r="E130" s="4">
        <v>485</v>
      </c>
      <c r="F130" s="4" t="s">
        <v>9</v>
      </c>
      <c r="G130" s="4" t="s">
        <v>10</v>
      </c>
      <c r="H130" s="4" t="str">
        <f>PROPER(TRIM(cloudSense[[#This Row],[resource_status]]))</f>
        <v>Active</v>
      </c>
      <c r="I130" s="4">
        <f>cloudSense[[#This Row],[allocated_cost]]-cloudSense[[#This Row],[actual_used_cost]]</f>
        <v>15</v>
      </c>
      <c r="J130" s="12">
        <f>((cloudSense[[#This Row],[allocated_cost]]-cloudSense[[#This Row],[actual_used_cost]])/cloudSense[[#This Row],[allocated_cost]]*100)*0.01</f>
        <v>0.03</v>
      </c>
      <c r="K130" s="13">
        <f>IF('cloudSense'!E130="",AVERAGE('cloudSense'!$E$2:$E$201),'cloudSense'!E130)</f>
        <v>92</v>
      </c>
    </row>
    <row r="131" spans="1:11" x14ac:dyDescent="0.3">
      <c r="A131" s="10">
        <v>130</v>
      </c>
      <c r="B131" s="11">
        <v>45722</v>
      </c>
      <c r="C131" s="4">
        <v>530</v>
      </c>
      <c r="D131" s="4">
        <v>700</v>
      </c>
      <c r="E131" s="4">
        <v>450</v>
      </c>
      <c r="F131" s="4" t="s">
        <v>12</v>
      </c>
      <c r="G131" s="4" t="s">
        <v>13</v>
      </c>
      <c r="H131" s="4" t="str">
        <f>PROPER(TRIM(cloudSense[[#This Row],[resource_status]]))</f>
        <v>Active</v>
      </c>
      <c r="I131" s="4">
        <f>cloudSense[[#This Row],[allocated_cost]]-cloudSense[[#This Row],[actual_used_cost]]</f>
        <v>250</v>
      </c>
      <c r="J131" s="12">
        <f>((cloudSense[[#This Row],[allocated_cost]]-cloudSense[[#This Row],[actual_used_cost]])/cloudSense[[#This Row],[allocated_cost]]*100)*0.01</f>
        <v>0.35714285714285715</v>
      </c>
      <c r="K131" s="13">
        <f>IF('cloudSense'!E131="",AVERAGE('cloudSense'!$E$2:$E$201),'cloudSense'!E131)</f>
        <v>59</v>
      </c>
    </row>
    <row r="132" spans="1:11" x14ac:dyDescent="0.3">
      <c r="A132" s="10">
        <v>131</v>
      </c>
      <c r="B132" s="11">
        <v>45723</v>
      </c>
      <c r="C132" s="4">
        <v>101</v>
      </c>
      <c r="D132" s="4">
        <v>500</v>
      </c>
      <c r="E132" s="4">
        <v>120</v>
      </c>
      <c r="F132" s="4" t="s">
        <v>9</v>
      </c>
      <c r="G132" s="4" t="s">
        <v>10</v>
      </c>
      <c r="H132" s="4" t="str">
        <f>PROPER(TRIM(cloudSense[[#This Row],[resource_status]]))</f>
        <v>Idle</v>
      </c>
      <c r="I132" s="4">
        <f>cloudSense[[#This Row],[allocated_cost]]-cloudSense[[#This Row],[actual_used_cost]]</f>
        <v>380</v>
      </c>
      <c r="J132" s="12">
        <f>((cloudSense[[#This Row],[allocated_cost]]-cloudSense[[#This Row],[actual_used_cost]])/cloudSense[[#This Row],[allocated_cost]]*100)*0.01</f>
        <v>0.76</v>
      </c>
      <c r="K132" s="13">
        <f>IF('cloudSense'!E132="",AVERAGE('cloudSense'!$E$2:$E$201),'cloudSense'!E132)</f>
        <v>14</v>
      </c>
    </row>
    <row r="133" spans="1:11" x14ac:dyDescent="0.3">
      <c r="A133" s="10">
        <v>132</v>
      </c>
      <c r="B133" s="11">
        <v>45723</v>
      </c>
      <c r="C133" s="4">
        <v>390</v>
      </c>
      <c r="D133" s="4">
        <v>600</v>
      </c>
      <c r="E133" s="4">
        <v>600</v>
      </c>
      <c r="F133" s="4" t="s">
        <v>17</v>
      </c>
      <c r="G133" s="4" t="s">
        <v>20</v>
      </c>
      <c r="H133" s="4" t="str">
        <f>PROPER(TRIM(cloudSense[[#This Row],[resource_status]]))</f>
        <v>Active</v>
      </c>
      <c r="I133" s="4">
        <f>cloudSense[[#This Row],[allocated_cost]]-cloudSense[[#This Row],[actual_used_cost]]</f>
        <v>0</v>
      </c>
      <c r="J133" s="12">
        <f>((cloudSense[[#This Row],[allocated_cost]]-cloudSense[[#This Row],[actual_used_cost]])/cloudSense[[#This Row],[allocated_cost]]*100)*0.01</f>
        <v>0</v>
      </c>
      <c r="K133" s="13">
        <f>IF('cloudSense'!E133="",AVERAGE('cloudSense'!$E$2:$E$201),'cloudSense'!E133)</f>
        <v>85</v>
      </c>
    </row>
    <row r="134" spans="1:11" x14ac:dyDescent="0.3">
      <c r="A134" s="10">
        <v>133</v>
      </c>
      <c r="B134" s="11">
        <v>45724</v>
      </c>
      <c r="C134" s="4">
        <v>16</v>
      </c>
      <c r="D134" s="4">
        <v>200</v>
      </c>
      <c r="E134" s="4">
        <v>41</v>
      </c>
      <c r="F134" s="4" t="s">
        <v>28</v>
      </c>
      <c r="G134" s="4" t="s">
        <v>13</v>
      </c>
      <c r="H134" s="4" t="str">
        <f>PROPER(TRIM(cloudSense[[#This Row],[resource_status]]))</f>
        <v>Idle</v>
      </c>
      <c r="I134" s="4">
        <f>cloudSense[[#This Row],[allocated_cost]]-cloudSense[[#This Row],[actual_used_cost]]</f>
        <v>159</v>
      </c>
      <c r="J134" s="12">
        <f>((cloudSense[[#This Row],[allocated_cost]]-cloudSense[[#This Row],[actual_used_cost]])/cloudSense[[#This Row],[allocated_cost]]*100)*0.01</f>
        <v>0.79500000000000004</v>
      </c>
      <c r="K134" s="13">
        <f>IF('cloudSense'!E134="",AVERAGE('cloudSense'!$E$2:$E$201),'cloudSense'!E134)</f>
        <v>3</v>
      </c>
    </row>
    <row r="135" spans="1:11" x14ac:dyDescent="0.3">
      <c r="A135" s="10">
        <v>134</v>
      </c>
      <c r="B135" s="11">
        <v>45724</v>
      </c>
      <c r="C135" s="4">
        <v>550</v>
      </c>
      <c r="D135" s="4">
        <v>700</v>
      </c>
      <c r="E135" s="4">
        <v>699</v>
      </c>
      <c r="F135" s="4" t="s">
        <v>12</v>
      </c>
      <c r="G135" s="4" t="s">
        <v>13</v>
      </c>
      <c r="H135" s="4" t="str">
        <f>PROPER(TRIM(cloudSense[[#This Row],[resource_status]]))</f>
        <v>Active</v>
      </c>
      <c r="I135" s="4">
        <f>cloudSense[[#This Row],[allocated_cost]]-cloudSense[[#This Row],[actual_used_cost]]</f>
        <v>1</v>
      </c>
      <c r="J135" s="12">
        <f>((cloudSense[[#This Row],[allocated_cost]]-cloudSense[[#This Row],[actual_used_cost]])/cloudSense[[#This Row],[allocated_cost]]*100)*0.01</f>
        <v>1.4285714285714286E-3</v>
      </c>
      <c r="K135" s="13">
        <f>IF('cloudSense'!E135="",AVERAGE('cloudSense'!$E$2:$E$201),'cloudSense'!E135)</f>
        <v>95</v>
      </c>
    </row>
    <row r="136" spans="1:11" x14ac:dyDescent="0.3">
      <c r="A136" s="10">
        <v>135</v>
      </c>
      <c r="B136" s="11">
        <v>45725</v>
      </c>
      <c r="C136" s="4">
        <v>170</v>
      </c>
      <c r="D136" s="4">
        <v>500</v>
      </c>
      <c r="E136" s="4">
        <v>295</v>
      </c>
      <c r="F136" s="4" t="s">
        <v>9</v>
      </c>
      <c r="G136" s="4" t="s">
        <v>10</v>
      </c>
      <c r="H136" s="4" t="str">
        <f>PROPER(TRIM(cloudSense[[#This Row],[resource_status]]))</f>
        <v>Active</v>
      </c>
      <c r="I136" s="4">
        <f>cloudSense[[#This Row],[allocated_cost]]-cloudSense[[#This Row],[actual_used_cost]]</f>
        <v>205</v>
      </c>
      <c r="J136" s="12">
        <f>((cloudSense[[#This Row],[allocated_cost]]-cloudSense[[#This Row],[actual_used_cost]])/cloudSense[[#This Row],[allocated_cost]]*100)*0.01</f>
        <v>0.41000000000000003</v>
      </c>
      <c r="K136" s="13">
        <f>IF('cloudSense'!E136="",AVERAGE('cloudSense'!$E$2:$E$201),'cloudSense'!E136)</f>
        <v>35</v>
      </c>
    </row>
    <row r="137" spans="1:11" x14ac:dyDescent="0.3">
      <c r="A137" s="10">
        <v>136</v>
      </c>
      <c r="B137" s="11">
        <v>45725</v>
      </c>
      <c r="C137" s="4">
        <v>290</v>
      </c>
      <c r="D137" s="4">
        <v>600</v>
      </c>
      <c r="E137" s="4">
        <v>405</v>
      </c>
      <c r="F137" s="4" t="s">
        <v>17</v>
      </c>
      <c r="G137" s="4" t="s">
        <v>18</v>
      </c>
      <c r="H137" s="4" t="str">
        <f>PROPER(TRIM(cloudSense[[#This Row],[resource_status]]))</f>
        <v>Idle</v>
      </c>
      <c r="I137" s="4">
        <f>cloudSense[[#This Row],[allocated_cost]]-cloudSense[[#This Row],[actual_used_cost]]</f>
        <v>195</v>
      </c>
      <c r="J137" s="12">
        <f>((cloudSense[[#This Row],[allocated_cost]]-cloudSense[[#This Row],[actual_used_cost]])/cloudSense[[#This Row],[allocated_cost]]*100)*0.01</f>
        <v>0.32500000000000001</v>
      </c>
      <c r="K137" s="13">
        <f>IF('cloudSense'!E137="",AVERAGE('cloudSense'!$E$2:$E$201),'cloudSense'!E137)</f>
        <v>47.111111111111114</v>
      </c>
    </row>
    <row r="138" spans="1:11" x14ac:dyDescent="0.3">
      <c r="A138" s="10">
        <v>137</v>
      </c>
      <c r="B138" s="11">
        <v>45726</v>
      </c>
      <c r="C138" s="4">
        <v>27</v>
      </c>
      <c r="D138" s="4">
        <v>200</v>
      </c>
      <c r="E138" s="4">
        <v>58</v>
      </c>
      <c r="F138" s="4" t="s">
        <v>28</v>
      </c>
      <c r="G138" s="4" t="s">
        <v>20</v>
      </c>
      <c r="H138" s="4" t="str">
        <f>PROPER(TRIM(cloudSense[[#This Row],[resource_status]]))</f>
        <v>Idle</v>
      </c>
      <c r="I138" s="4">
        <f>cloudSense[[#This Row],[allocated_cost]]-cloudSense[[#This Row],[actual_used_cost]]</f>
        <v>142</v>
      </c>
      <c r="J138" s="12">
        <f>((cloudSense[[#This Row],[allocated_cost]]-cloudSense[[#This Row],[actual_used_cost]])/cloudSense[[#This Row],[allocated_cost]]*100)*0.01</f>
        <v>0.71</v>
      </c>
      <c r="K138" s="13">
        <f>IF('cloudSense'!E138="",AVERAGE('cloudSense'!$E$2:$E$201),'cloudSense'!E138)</f>
        <v>6</v>
      </c>
    </row>
    <row r="139" spans="1:11" x14ac:dyDescent="0.3">
      <c r="A139" s="10">
        <v>138</v>
      </c>
      <c r="B139" s="11">
        <v>45726</v>
      </c>
      <c r="C139" s="4">
        <v>580</v>
      </c>
      <c r="D139" s="4">
        <v>700</v>
      </c>
      <c r="E139" s="4">
        <v>700</v>
      </c>
      <c r="F139" s="4" t="s">
        <v>12</v>
      </c>
      <c r="G139" s="4" t="s">
        <v>13</v>
      </c>
      <c r="H139" s="4" t="str">
        <f>PROPER(TRIM(cloudSense[[#This Row],[resource_status]]))</f>
        <v>Active</v>
      </c>
      <c r="I139" s="4">
        <f>cloudSense[[#This Row],[allocated_cost]]-cloudSense[[#This Row],[actual_used_cost]]</f>
        <v>0</v>
      </c>
      <c r="J139" s="12">
        <f>((cloudSense[[#This Row],[allocated_cost]]-cloudSense[[#This Row],[actual_used_cost]])/cloudSense[[#This Row],[allocated_cost]]*100)*0.01</f>
        <v>0</v>
      </c>
      <c r="K139" s="13">
        <f>IF('cloudSense'!E139="",AVERAGE('cloudSense'!$E$2:$E$201),'cloudSense'!E139)</f>
        <v>98</v>
      </c>
    </row>
    <row r="140" spans="1:11" x14ac:dyDescent="0.3">
      <c r="A140" s="10">
        <v>139</v>
      </c>
      <c r="B140" s="11">
        <v>45727</v>
      </c>
      <c r="C140" s="4">
        <v>118</v>
      </c>
      <c r="D140" s="4">
        <v>500</v>
      </c>
      <c r="E140" s="4">
        <v>190</v>
      </c>
      <c r="F140" s="4" t="s">
        <v>9</v>
      </c>
      <c r="G140" s="4" t="s">
        <v>10</v>
      </c>
      <c r="H140" s="4" t="str">
        <f>PROPER(TRIM(cloudSense[[#This Row],[resource_status]]))</f>
        <v>Idle</v>
      </c>
      <c r="I140" s="4">
        <f>cloudSense[[#This Row],[allocated_cost]]-cloudSense[[#This Row],[actual_used_cost]]</f>
        <v>310</v>
      </c>
      <c r="J140" s="12">
        <f>((cloudSense[[#This Row],[allocated_cost]]-cloudSense[[#This Row],[actual_used_cost]])/cloudSense[[#This Row],[allocated_cost]]*100)*0.01</f>
        <v>0.62</v>
      </c>
      <c r="K140" s="13">
        <f>IF('cloudSense'!E140="",AVERAGE('cloudSense'!$E$2:$E$201),'cloudSense'!E140)</f>
        <v>20</v>
      </c>
    </row>
    <row r="141" spans="1:11" x14ac:dyDescent="0.3">
      <c r="A141" s="10">
        <v>140</v>
      </c>
      <c r="B141" s="11">
        <v>45727</v>
      </c>
      <c r="C141" s="4">
        <v>328</v>
      </c>
      <c r="D141" s="4">
        <v>600</v>
      </c>
      <c r="E141" s="4">
        <v>588</v>
      </c>
      <c r="F141" s="4" t="s">
        <v>17</v>
      </c>
      <c r="G141" s="4" t="s">
        <v>18</v>
      </c>
      <c r="H141" s="4" t="str">
        <f>PROPER(TRIM(cloudSense[[#This Row],[resource_status]]))</f>
        <v>Active</v>
      </c>
      <c r="I141" s="4">
        <f>cloudSense[[#This Row],[allocated_cost]]-cloudSense[[#This Row],[actual_used_cost]]</f>
        <v>12</v>
      </c>
      <c r="J141" s="12">
        <f>((cloudSense[[#This Row],[allocated_cost]]-cloudSense[[#This Row],[actual_used_cost]])/cloudSense[[#This Row],[allocated_cost]]*100)*0.01</f>
        <v>0.02</v>
      </c>
      <c r="K141" s="13">
        <f>IF('cloudSense'!E141="",AVERAGE('cloudSense'!$E$2:$E$201),'cloudSense'!E141)</f>
        <v>72</v>
      </c>
    </row>
    <row r="142" spans="1:11" x14ac:dyDescent="0.3">
      <c r="A142" s="10">
        <v>141</v>
      </c>
      <c r="B142" s="11">
        <v>45728</v>
      </c>
      <c r="C142" s="4">
        <v>178</v>
      </c>
      <c r="D142" s="4">
        <v>500</v>
      </c>
      <c r="E142" s="4">
        <v>310</v>
      </c>
      <c r="F142" s="4" t="s">
        <v>9</v>
      </c>
      <c r="G142" s="4" t="s">
        <v>10</v>
      </c>
      <c r="H142" s="4" t="str">
        <f>PROPER(TRIM(cloudSense[[#This Row],[resource_status]]))</f>
        <v>Active</v>
      </c>
      <c r="I142" s="4">
        <f>cloudSense[[#This Row],[allocated_cost]]-cloudSense[[#This Row],[actual_used_cost]]</f>
        <v>190</v>
      </c>
      <c r="J142" s="12">
        <f>((cloudSense[[#This Row],[allocated_cost]]-cloudSense[[#This Row],[actual_used_cost]])/cloudSense[[#This Row],[allocated_cost]]*100)*0.01</f>
        <v>0.38</v>
      </c>
      <c r="K142" s="13">
        <f>IF('cloudSense'!E142="",AVERAGE('cloudSense'!$E$2:$E$201),'cloudSense'!E142)</f>
        <v>38</v>
      </c>
    </row>
    <row r="143" spans="1:11" x14ac:dyDescent="0.3">
      <c r="A143" s="10">
        <v>142</v>
      </c>
      <c r="B143" s="11">
        <v>45728</v>
      </c>
      <c r="C143" s="4">
        <v>465</v>
      </c>
      <c r="D143" s="4">
        <v>700</v>
      </c>
      <c r="E143" s="4">
        <v>655</v>
      </c>
      <c r="F143" s="4" t="s">
        <v>12</v>
      </c>
      <c r="G143" s="4" t="s">
        <v>13</v>
      </c>
      <c r="H143" s="4" t="str">
        <f>PROPER(TRIM(cloudSense[[#This Row],[resource_status]]))</f>
        <v>Active</v>
      </c>
      <c r="I143" s="4">
        <f>cloudSense[[#This Row],[allocated_cost]]-cloudSense[[#This Row],[actual_used_cost]]</f>
        <v>45</v>
      </c>
      <c r="J143" s="12">
        <f>((cloudSense[[#This Row],[allocated_cost]]-cloudSense[[#This Row],[actual_used_cost]])/cloudSense[[#This Row],[allocated_cost]]*100)*0.01</f>
        <v>6.4285714285714279E-2</v>
      </c>
      <c r="K143" s="13">
        <f>IF('cloudSense'!E143="",AVERAGE('cloudSense'!$E$2:$E$201),'cloudSense'!E143)</f>
        <v>78</v>
      </c>
    </row>
    <row r="144" spans="1:11" x14ac:dyDescent="0.3">
      <c r="A144" s="10">
        <v>143</v>
      </c>
      <c r="B144" s="11">
        <v>45729</v>
      </c>
      <c r="C144" s="4">
        <v>108</v>
      </c>
      <c r="D144" s="4">
        <v>500</v>
      </c>
      <c r="E144" s="4">
        <v>135</v>
      </c>
      <c r="F144" s="4" t="s">
        <v>9</v>
      </c>
      <c r="G144" s="4" t="s">
        <v>10</v>
      </c>
      <c r="H144" s="4" t="str">
        <f>PROPER(TRIM(cloudSense[[#This Row],[resource_status]]))</f>
        <v>Idle</v>
      </c>
      <c r="I144" s="4">
        <f>cloudSense[[#This Row],[allocated_cost]]-cloudSense[[#This Row],[actual_used_cost]]</f>
        <v>365</v>
      </c>
      <c r="J144" s="12">
        <f>((cloudSense[[#This Row],[allocated_cost]]-cloudSense[[#This Row],[actual_used_cost]])/cloudSense[[#This Row],[allocated_cost]]*100)*0.01</f>
        <v>0.73</v>
      </c>
      <c r="K144" s="13">
        <f>IF('cloudSense'!E144="",AVERAGE('cloudSense'!$E$2:$E$201),'cloudSense'!E144)</f>
        <v>16</v>
      </c>
    </row>
    <row r="145" spans="1:11" x14ac:dyDescent="0.3">
      <c r="A145" s="10">
        <v>144</v>
      </c>
      <c r="B145" s="11">
        <v>45729</v>
      </c>
      <c r="C145" s="4">
        <v>312</v>
      </c>
      <c r="D145" s="4">
        <v>600</v>
      </c>
      <c r="E145" s="4">
        <v>525</v>
      </c>
      <c r="F145" s="4" t="s">
        <v>17</v>
      </c>
      <c r="G145" s="4" t="s">
        <v>18</v>
      </c>
      <c r="H145" s="4" t="str">
        <f>PROPER(TRIM(cloudSense[[#This Row],[resource_status]]))</f>
        <v>Active</v>
      </c>
      <c r="I145" s="4">
        <f>cloudSense[[#This Row],[allocated_cost]]-cloudSense[[#This Row],[actual_used_cost]]</f>
        <v>75</v>
      </c>
      <c r="J145" s="12">
        <f>((cloudSense[[#This Row],[allocated_cost]]-cloudSense[[#This Row],[actual_used_cost]])/cloudSense[[#This Row],[allocated_cost]]*100)*0.01</f>
        <v>0.125</v>
      </c>
      <c r="K145" s="13">
        <f>IF('cloudSense'!E145="",AVERAGE('cloudSense'!$E$2:$E$201),'cloudSense'!E145)</f>
        <v>63</v>
      </c>
    </row>
    <row r="146" spans="1:11" x14ac:dyDescent="0.3">
      <c r="A146" s="10">
        <v>145</v>
      </c>
      <c r="B146" s="11">
        <v>45730</v>
      </c>
      <c r="C146" s="4">
        <v>26</v>
      </c>
      <c r="D146" s="4">
        <v>200</v>
      </c>
      <c r="E146" s="4">
        <v>56</v>
      </c>
      <c r="F146" s="4" t="s">
        <v>28</v>
      </c>
      <c r="G146" s="4" t="s">
        <v>20</v>
      </c>
      <c r="H146" s="4" t="str">
        <f>PROPER(TRIM(cloudSense[[#This Row],[resource_status]]))</f>
        <v>Idle</v>
      </c>
      <c r="I146" s="4">
        <f>cloudSense[[#This Row],[allocated_cost]]-cloudSense[[#This Row],[actual_used_cost]]</f>
        <v>144</v>
      </c>
      <c r="J146" s="12">
        <f>((cloudSense[[#This Row],[allocated_cost]]-cloudSense[[#This Row],[actual_used_cost]])/cloudSense[[#This Row],[allocated_cost]]*100)*0.01</f>
        <v>0.72</v>
      </c>
      <c r="K146" s="13">
        <f>IF('cloudSense'!E146="",AVERAGE('cloudSense'!$E$2:$E$201),'cloudSense'!E146)</f>
        <v>5</v>
      </c>
    </row>
    <row r="147" spans="1:11" x14ac:dyDescent="0.3">
      <c r="A147" s="10">
        <v>146</v>
      </c>
      <c r="B147" s="11">
        <v>45730</v>
      </c>
      <c r="C147" s="4">
        <v>505</v>
      </c>
      <c r="D147" s="4">
        <v>700</v>
      </c>
      <c r="E147" s="4">
        <v>675</v>
      </c>
      <c r="F147" s="4" t="s">
        <v>12</v>
      </c>
      <c r="G147" s="4" t="s">
        <v>13</v>
      </c>
      <c r="H147" s="4" t="str">
        <f>PROPER(TRIM(cloudSense[[#This Row],[resource_status]]))</f>
        <v>Active</v>
      </c>
      <c r="I147" s="4">
        <f>cloudSense[[#This Row],[allocated_cost]]-cloudSense[[#This Row],[actual_used_cost]]</f>
        <v>25</v>
      </c>
      <c r="J147" s="12">
        <f>((cloudSense[[#This Row],[allocated_cost]]-cloudSense[[#This Row],[actual_used_cost]])/cloudSense[[#This Row],[allocated_cost]]*100)*0.01</f>
        <v>3.5714285714285712E-2</v>
      </c>
      <c r="K147" s="13">
        <f>IF('cloudSense'!E147="",AVERAGE('cloudSense'!$E$2:$E$201),'cloudSense'!E147)</f>
        <v>87</v>
      </c>
    </row>
    <row r="148" spans="1:11" x14ac:dyDescent="0.3">
      <c r="A148" s="10">
        <v>147</v>
      </c>
      <c r="B148" s="11">
        <v>45731</v>
      </c>
      <c r="C148" s="4">
        <v>188</v>
      </c>
      <c r="D148" s="4">
        <v>500</v>
      </c>
      <c r="E148" s="4">
        <v>355</v>
      </c>
      <c r="F148" s="4" t="s">
        <v>9</v>
      </c>
      <c r="G148" s="4" t="s">
        <v>10</v>
      </c>
      <c r="H148" s="4" t="str">
        <f>PROPER(TRIM(cloudSense[[#This Row],[resource_status]]))</f>
        <v>Active</v>
      </c>
      <c r="I148" s="4">
        <f>cloudSense[[#This Row],[allocated_cost]]-cloudSense[[#This Row],[actual_used_cost]]</f>
        <v>145</v>
      </c>
      <c r="J148" s="12">
        <f>((cloudSense[[#This Row],[allocated_cost]]-cloudSense[[#This Row],[actual_used_cost]])/cloudSense[[#This Row],[allocated_cost]]*100)*0.01</f>
        <v>0.28999999999999998</v>
      </c>
      <c r="K148" s="13">
        <f>IF('cloudSense'!E148="",AVERAGE('cloudSense'!$E$2:$E$201),'cloudSense'!E148)</f>
        <v>42</v>
      </c>
    </row>
    <row r="149" spans="1:11" x14ac:dyDescent="0.3">
      <c r="A149" s="10">
        <v>148</v>
      </c>
      <c r="B149" s="11">
        <v>45731</v>
      </c>
      <c r="C149" s="4">
        <v>238</v>
      </c>
      <c r="D149" s="4">
        <v>600</v>
      </c>
      <c r="E149" s="4">
        <v>195</v>
      </c>
      <c r="F149" s="4" t="s">
        <v>17</v>
      </c>
      <c r="G149" s="4" t="s">
        <v>18</v>
      </c>
      <c r="H149" s="4" t="str">
        <f>PROPER(TRIM(cloudSense[[#This Row],[resource_status]]))</f>
        <v>Idle</v>
      </c>
      <c r="I149" s="4">
        <f>cloudSense[[#This Row],[allocated_cost]]-cloudSense[[#This Row],[actual_used_cost]]</f>
        <v>405</v>
      </c>
      <c r="J149" s="12">
        <f>((cloudSense[[#This Row],[allocated_cost]]-cloudSense[[#This Row],[actual_used_cost]])/cloudSense[[#This Row],[allocated_cost]]*100)*0.01</f>
        <v>0.67500000000000004</v>
      </c>
      <c r="K149" s="13">
        <f>IF('cloudSense'!E149="",AVERAGE('cloudSense'!$E$2:$E$201),'cloudSense'!E149)</f>
        <v>27</v>
      </c>
    </row>
    <row r="150" spans="1:11" x14ac:dyDescent="0.3">
      <c r="A150" s="10">
        <v>149</v>
      </c>
      <c r="B150" s="11">
        <v>45732</v>
      </c>
      <c r="C150" s="4">
        <v>282</v>
      </c>
      <c r="D150" s="4">
        <v>500</v>
      </c>
      <c r="E150" s="4">
        <v>488</v>
      </c>
      <c r="F150" s="4" t="s">
        <v>9</v>
      </c>
      <c r="G150" s="4" t="s">
        <v>10</v>
      </c>
      <c r="H150" s="4" t="str">
        <f>PROPER(TRIM(cloudSense[[#This Row],[resource_status]]))</f>
        <v>Active</v>
      </c>
      <c r="I150" s="4">
        <f>cloudSense[[#This Row],[allocated_cost]]-cloudSense[[#This Row],[actual_used_cost]]</f>
        <v>12</v>
      </c>
      <c r="J150" s="12">
        <f>((cloudSense[[#This Row],[allocated_cost]]-cloudSense[[#This Row],[actual_used_cost]])/cloudSense[[#This Row],[allocated_cost]]*100)*0.01</f>
        <v>2.4E-2</v>
      </c>
      <c r="K150" s="13">
        <f>IF('cloudSense'!E150="",AVERAGE('cloudSense'!$E$2:$E$201),'cloudSense'!E150)</f>
        <v>93</v>
      </c>
    </row>
    <row r="151" spans="1:11" x14ac:dyDescent="0.3">
      <c r="A151" s="10">
        <v>150</v>
      </c>
      <c r="B151" s="11">
        <v>45732</v>
      </c>
      <c r="C151" s="4">
        <v>535</v>
      </c>
      <c r="D151" s="4">
        <v>700</v>
      </c>
      <c r="E151" s="4">
        <v>455</v>
      </c>
      <c r="F151" s="4" t="s">
        <v>12</v>
      </c>
      <c r="G151" s="4" t="s">
        <v>13</v>
      </c>
      <c r="H151" s="4" t="str">
        <f>PROPER(TRIM(cloudSense[[#This Row],[resource_status]]))</f>
        <v>Active</v>
      </c>
      <c r="I151" s="4">
        <f>cloudSense[[#This Row],[allocated_cost]]-cloudSense[[#This Row],[actual_used_cost]]</f>
        <v>245</v>
      </c>
      <c r="J151" s="12">
        <f>((cloudSense[[#This Row],[allocated_cost]]-cloudSense[[#This Row],[actual_used_cost]])/cloudSense[[#This Row],[allocated_cost]]*100)*0.01</f>
        <v>0.35000000000000003</v>
      </c>
      <c r="K151" s="13">
        <f>IF('cloudSense'!E151="",AVERAGE('cloudSense'!$E$2:$E$201),'cloudSense'!E151)</f>
        <v>60</v>
      </c>
    </row>
    <row r="152" spans="1:11" x14ac:dyDescent="0.3">
      <c r="A152" s="10">
        <v>151</v>
      </c>
      <c r="B152" s="11">
        <v>45733</v>
      </c>
      <c r="C152" s="4">
        <v>104</v>
      </c>
      <c r="D152" s="4">
        <v>500</v>
      </c>
      <c r="E152" s="4">
        <v>125</v>
      </c>
      <c r="F152" s="4" t="s">
        <v>9</v>
      </c>
      <c r="G152" s="4" t="s">
        <v>10</v>
      </c>
      <c r="H152" s="4" t="str">
        <f>PROPER(TRIM(cloudSense[[#This Row],[resource_status]]))</f>
        <v>Idle</v>
      </c>
      <c r="I152" s="4">
        <f>cloudSense[[#This Row],[allocated_cost]]-cloudSense[[#This Row],[actual_used_cost]]</f>
        <v>375</v>
      </c>
      <c r="J152" s="12">
        <f>((cloudSense[[#This Row],[allocated_cost]]-cloudSense[[#This Row],[actual_used_cost]])/cloudSense[[#This Row],[allocated_cost]]*100)*0.01</f>
        <v>0.75</v>
      </c>
      <c r="K152" s="13">
        <f>IF('cloudSense'!E152="",AVERAGE('cloudSense'!$E$2:$E$201),'cloudSense'!E152)</f>
        <v>15</v>
      </c>
    </row>
    <row r="153" spans="1:11" x14ac:dyDescent="0.3">
      <c r="A153" s="10">
        <v>152</v>
      </c>
      <c r="B153" s="11">
        <v>45733</v>
      </c>
      <c r="C153" s="4">
        <v>395</v>
      </c>
      <c r="D153" s="4">
        <v>600</v>
      </c>
      <c r="E153" s="4">
        <v>600</v>
      </c>
      <c r="F153" s="4" t="s">
        <v>17</v>
      </c>
      <c r="G153" s="4" t="s">
        <v>20</v>
      </c>
      <c r="H153" s="4" t="str">
        <f>PROPER(TRIM(cloudSense[[#This Row],[resource_status]]))</f>
        <v>Active</v>
      </c>
      <c r="I153" s="4">
        <f>cloudSense[[#This Row],[allocated_cost]]-cloudSense[[#This Row],[actual_used_cost]]</f>
        <v>0</v>
      </c>
      <c r="J153" s="12">
        <f>((cloudSense[[#This Row],[allocated_cost]]-cloudSense[[#This Row],[actual_used_cost]])/cloudSense[[#This Row],[allocated_cost]]*100)*0.01</f>
        <v>0</v>
      </c>
      <c r="K153" s="13">
        <f>IF('cloudSense'!E153="",AVERAGE('cloudSense'!$E$2:$E$201),'cloudSense'!E153)</f>
        <v>86</v>
      </c>
    </row>
    <row r="154" spans="1:11" x14ac:dyDescent="0.3">
      <c r="A154" s="10">
        <v>153</v>
      </c>
      <c r="B154" s="11">
        <v>45734</v>
      </c>
      <c r="C154" s="4">
        <v>18</v>
      </c>
      <c r="D154" s="4">
        <v>200</v>
      </c>
      <c r="E154" s="4">
        <v>44</v>
      </c>
      <c r="F154" s="4" t="s">
        <v>28</v>
      </c>
      <c r="G154" s="4" t="s">
        <v>13</v>
      </c>
      <c r="H154" s="4" t="str">
        <f>PROPER(TRIM(cloudSense[[#This Row],[resource_status]]))</f>
        <v>Idle</v>
      </c>
      <c r="I154" s="4">
        <f>cloudSense[[#This Row],[allocated_cost]]-cloudSense[[#This Row],[actual_used_cost]]</f>
        <v>156</v>
      </c>
      <c r="J154" s="12">
        <f>((cloudSense[[#This Row],[allocated_cost]]-cloudSense[[#This Row],[actual_used_cost]])/cloudSense[[#This Row],[allocated_cost]]*100)*0.01</f>
        <v>0.78</v>
      </c>
      <c r="K154" s="13">
        <f>IF('cloudSense'!E154="",AVERAGE('cloudSense'!$E$2:$E$201),'cloudSense'!E154)</f>
        <v>4</v>
      </c>
    </row>
    <row r="155" spans="1:11" x14ac:dyDescent="0.3">
      <c r="A155" s="10">
        <v>154</v>
      </c>
      <c r="B155" s="11">
        <v>45734</v>
      </c>
      <c r="C155" s="4">
        <v>555</v>
      </c>
      <c r="D155" s="4">
        <v>700</v>
      </c>
      <c r="E155" s="4">
        <v>699</v>
      </c>
      <c r="F155" s="4" t="s">
        <v>12</v>
      </c>
      <c r="G155" s="4" t="s">
        <v>13</v>
      </c>
      <c r="H155" s="4" t="str">
        <f>PROPER(TRIM(cloudSense[[#This Row],[resource_status]]))</f>
        <v>Active</v>
      </c>
      <c r="I155" s="4">
        <f>cloudSense[[#This Row],[allocated_cost]]-cloudSense[[#This Row],[actual_used_cost]]</f>
        <v>1</v>
      </c>
      <c r="J155" s="12">
        <f>((cloudSense[[#This Row],[allocated_cost]]-cloudSense[[#This Row],[actual_used_cost]])/cloudSense[[#This Row],[allocated_cost]]*100)*0.01</f>
        <v>1.4285714285714286E-3</v>
      </c>
      <c r="K155" s="13">
        <f>IF('cloudSense'!E155="",AVERAGE('cloudSense'!$E$2:$E$201),'cloudSense'!E155)</f>
        <v>96</v>
      </c>
    </row>
    <row r="156" spans="1:11" x14ac:dyDescent="0.3">
      <c r="A156" s="10">
        <v>155</v>
      </c>
      <c r="B156" s="11">
        <v>45735</v>
      </c>
      <c r="C156" s="4">
        <v>172</v>
      </c>
      <c r="D156" s="4">
        <v>500</v>
      </c>
      <c r="E156" s="4">
        <v>300</v>
      </c>
      <c r="F156" s="4" t="s">
        <v>9</v>
      </c>
      <c r="G156" s="4" t="s">
        <v>10</v>
      </c>
      <c r="H156" s="4" t="str">
        <f>PROPER(TRIM(cloudSense[[#This Row],[resource_status]]))</f>
        <v>Active</v>
      </c>
      <c r="I156" s="4">
        <f>cloudSense[[#This Row],[allocated_cost]]-cloudSense[[#This Row],[actual_used_cost]]</f>
        <v>200</v>
      </c>
      <c r="J156" s="12">
        <f>((cloudSense[[#This Row],[allocated_cost]]-cloudSense[[#This Row],[actual_used_cost]])/cloudSense[[#This Row],[allocated_cost]]*100)*0.01</f>
        <v>0.4</v>
      </c>
      <c r="K156" s="13">
        <f>IF('cloudSense'!E156="",AVERAGE('cloudSense'!$E$2:$E$201),'cloudSense'!E156)</f>
        <v>36</v>
      </c>
    </row>
    <row r="157" spans="1:11" x14ac:dyDescent="0.3">
      <c r="A157" s="10">
        <v>156</v>
      </c>
      <c r="B157" s="11">
        <v>45735</v>
      </c>
      <c r="C157" s="4">
        <v>292</v>
      </c>
      <c r="D157" s="4">
        <v>600</v>
      </c>
      <c r="E157" s="4">
        <v>408</v>
      </c>
      <c r="F157" s="4" t="s">
        <v>17</v>
      </c>
      <c r="G157" s="4" t="s">
        <v>18</v>
      </c>
      <c r="H157" s="4" t="str">
        <f>PROPER(TRIM(cloudSense[[#This Row],[resource_status]]))</f>
        <v>Idle</v>
      </c>
      <c r="I157" s="4">
        <f>cloudSense[[#This Row],[allocated_cost]]-cloudSense[[#This Row],[actual_used_cost]]</f>
        <v>192</v>
      </c>
      <c r="J157" s="12">
        <f>((cloudSense[[#This Row],[allocated_cost]]-cloudSense[[#This Row],[actual_used_cost]])/cloudSense[[#This Row],[allocated_cost]]*100)*0.01</f>
        <v>0.32</v>
      </c>
      <c r="K157" s="13">
        <f>IF('cloudSense'!E157="",AVERAGE('cloudSense'!$E$2:$E$201),'cloudSense'!E157)</f>
        <v>47.111111111111114</v>
      </c>
    </row>
    <row r="158" spans="1:11" x14ac:dyDescent="0.3">
      <c r="A158" s="10">
        <v>157</v>
      </c>
      <c r="B158" s="11">
        <v>45736</v>
      </c>
      <c r="C158" s="4">
        <v>29</v>
      </c>
      <c r="D158" s="4">
        <v>200</v>
      </c>
      <c r="E158" s="4">
        <v>60</v>
      </c>
      <c r="F158" s="4" t="s">
        <v>28</v>
      </c>
      <c r="G158" s="4" t="s">
        <v>20</v>
      </c>
      <c r="H158" s="4" t="str">
        <f>PROPER(TRIM(cloudSense[[#This Row],[resource_status]]))</f>
        <v>Idle</v>
      </c>
      <c r="I158" s="4">
        <f>cloudSense[[#This Row],[allocated_cost]]-cloudSense[[#This Row],[actual_used_cost]]</f>
        <v>140</v>
      </c>
      <c r="J158" s="12">
        <f>((cloudSense[[#This Row],[allocated_cost]]-cloudSense[[#This Row],[actual_used_cost]])/cloudSense[[#This Row],[allocated_cost]]*100)*0.01</f>
        <v>0.70000000000000007</v>
      </c>
      <c r="K158" s="13">
        <f>IF('cloudSense'!E158="",AVERAGE('cloudSense'!$E$2:$E$201),'cloudSense'!E158)</f>
        <v>7</v>
      </c>
    </row>
    <row r="159" spans="1:11" x14ac:dyDescent="0.3">
      <c r="A159" s="10">
        <v>158</v>
      </c>
      <c r="B159" s="11">
        <v>45736</v>
      </c>
      <c r="C159" s="4">
        <v>585</v>
      </c>
      <c r="D159" s="4">
        <v>700</v>
      </c>
      <c r="E159" s="4">
        <v>700</v>
      </c>
      <c r="F159" s="4" t="s">
        <v>12</v>
      </c>
      <c r="G159" s="4" t="s">
        <v>13</v>
      </c>
      <c r="H159" s="4" t="str">
        <f>PROPER(TRIM(cloudSense[[#This Row],[resource_status]]))</f>
        <v>Active</v>
      </c>
      <c r="I159" s="4">
        <f>cloudSense[[#This Row],[allocated_cost]]-cloudSense[[#This Row],[actual_used_cost]]</f>
        <v>0</v>
      </c>
      <c r="J159" s="12">
        <f>((cloudSense[[#This Row],[allocated_cost]]-cloudSense[[#This Row],[actual_used_cost]])/cloudSense[[#This Row],[allocated_cost]]*100)*0.01</f>
        <v>0</v>
      </c>
      <c r="K159" s="13">
        <f>IF('cloudSense'!E159="",AVERAGE('cloudSense'!$E$2:$E$201),'cloudSense'!E159)</f>
        <v>99</v>
      </c>
    </row>
    <row r="160" spans="1:11" x14ac:dyDescent="0.3">
      <c r="A160" s="10">
        <v>159</v>
      </c>
      <c r="B160" s="11">
        <v>45737</v>
      </c>
      <c r="C160" s="4">
        <v>120</v>
      </c>
      <c r="D160" s="4">
        <v>500</v>
      </c>
      <c r="E160" s="4">
        <v>195</v>
      </c>
      <c r="F160" s="4" t="s">
        <v>9</v>
      </c>
      <c r="G160" s="4" t="s">
        <v>10</v>
      </c>
      <c r="H160" s="4" t="str">
        <f>PROPER(TRIM(cloudSense[[#This Row],[resource_status]]))</f>
        <v>Idle</v>
      </c>
      <c r="I160" s="4">
        <f>cloudSense[[#This Row],[allocated_cost]]-cloudSense[[#This Row],[actual_used_cost]]</f>
        <v>305</v>
      </c>
      <c r="J160" s="12">
        <f>((cloudSense[[#This Row],[allocated_cost]]-cloudSense[[#This Row],[actual_used_cost]])/cloudSense[[#This Row],[allocated_cost]]*100)*0.01</f>
        <v>0.61</v>
      </c>
      <c r="K160" s="13">
        <f>IF('cloudSense'!E160="",AVERAGE('cloudSense'!$E$2:$E$201),'cloudSense'!E160)</f>
        <v>21</v>
      </c>
    </row>
    <row r="161" spans="1:11" x14ac:dyDescent="0.3">
      <c r="A161" s="10">
        <v>160</v>
      </c>
      <c r="B161" s="11">
        <v>45737</v>
      </c>
      <c r="C161" s="4">
        <v>330</v>
      </c>
      <c r="D161" s="4">
        <v>600</v>
      </c>
      <c r="E161" s="4">
        <v>590</v>
      </c>
      <c r="F161" s="4" t="s">
        <v>17</v>
      </c>
      <c r="G161" s="4" t="s">
        <v>18</v>
      </c>
      <c r="H161" s="4" t="str">
        <f>PROPER(TRIM(cloudSense[[#This Row],[resource_status]]))</f>
        <v>Active</v>
      </c>
      <c r="I161" s="4">
        <f>cloudSense[[#This Row],[allocated_cost]]-cloudSense[[#This Row],[actual_used_cost]]</f>
        <v>10</v>
      </c>
      <c r="J161" s="12">
        <f>((cloudSense[[#This Row],[allocated_cost]]-cloudSense[[#This Row],[actual_used_cost]])/cloudSense[[#This Row],[allocated_cost]]*100)*0.01</f>
        <v>1.6666666666666666E-2</v>
      </c>
      <c r="K161" s="13">
        <f>IF('cloudSense'!E161="",AVERAGE('cloudSense'!$E$2:$E$201),'cloudSense'!E161)</f>
        <v>74</v>
      </c>
    </row>
    <row r="162" spans="1:11" x14ac:dyDescent="0.3">
      <c r="A162" s="10">
        <v>161</v>
      </c>
      <c r="B162" s="11">
        <v>45738</v>
      </c>
      <c r="C162" s="4">
        <v>180</v>
      </c>
      <c r="D162" s="4">
        <v>500</v>
      </c>
      <c r="E162" s="4">
        <v>315</v>
      </c>
      <c r="F162" s="4" t="s">
        <v>9</v>
      </c>
      <c r="G162" s="4" t="s">
        <v>10</v>
      </c>
      <c r="H162" s="4" t="str">
        <f>PROPER(TRIM(cloudSense[[#This Row],[resource_status]]))</f>
        <v>Active</v>
      </c>
      <c r="I162" s="4">
        <f>cloudSense[[#This Row],[allocated_cost]]-cloudSense[[#This Row],[actual_used_cost]]</f>
        <v>185</v>
      </c>
      <c r="J162" s="12">
        <f>((cloudSense[[#This Row],[allocated_cost]]-cloudSense[[#This Row],[actual_used_cost]])/cloudSense[[#This Row],[allocated_cost]]*100)*0.01</f>
        <v>0.37</v>
      </c>
      <c r="K162" s="13">
        <f>IF('cloudSense'!E162="",AVERAGE('cloudSense'!$E$2:$E$201),'cloudSense'!E162)</f>
        <v>39</v>
      </c>
    </row>
    <row r="163" spans="1:11" x14ac:dyDescent="0.3">
      <c r="A163" s="10">
        <v>162</v>
      </c>
      <c r="B163" s="11">
        <v>45738</v>
      </c>
      <c r="C163" s="4">
        <v>470</v>
      </c>
      <c r="D163" s="4">
        <v>700</v>
      </c>
      <c r="E163" s="4">
        <v>660</v>
      </c>
      <c r="F163" s="4" t="s">
        <v>12</v>
      </c>
      <c r="G163" s="4" t="s">
        <v>13</v>
      </c>
      <c r="H163" s="4" t="str">
        <f>PROPER(TRIM(cloudSense[[#This Row],[resource_status]]))</f>
        <v>Active</v>
      </c>
      <c r="I163" s="4">
        <f>cloudSense[[#This Row],[allocated_cost]]-cloudSense[[#This Row],[actual_used_cost]]</f>
        <v>40</v>
      </c>
      <c r="J163" s="12">
        <f>((cloudSense[[#This Row],[allocated_cost]]-cloudSense[[#This Row],[actual_used_cost]])/cloudSense[[#This Row],[allocated_cost]]*100)*0.01</f>
        <v>5.7142857142857148E-2</v>
      </c>
      <c r="K163" s="13">
        <f>IF('cloudSense'!E163="",AVERAGE('cloudSense'!$E$2:$E$201),'cloudSense'!E163)</f>
        <v>79</v>
      </c>
    </row>
    <row r="164" spans="1:11" x14ac:dyDescent="0.3">
      <c r="A164" s="10">
        <v>163</v>
      </c>
      <c r="B164" s="11">
        <v>45739</v>
      </c>
      <c r="C164" s="4">
        <v>110</v>
      </c>
      <c r="D164" s="4">
        <v>500</v>
      </c>
      <c r="E164" s="4">
        <v>140</v>
      </c>
      <c r="F164" s="4" t="s">
        <v>9</v>
      </c>
      <c r="G164" s="4" t="s">
        <v>10</v>
      </c>
      <c r="H164" s="4" t="str">
        <f>PROPER(TRIM(cloudSense[[#This Row],[resource_status]]))</f>
        <v>Idle</v>
      </c>
      <c r="I164" s="4">
        <f>cloudSense[[#This Row],[allocated_cost]]-cloudSense[[#This Row],[actual_used_cost]]</f>
        <v>360</v>
      </c>
      <c r="J164" s="12">
        <f>((cloudSense[[#This Row],[allocated_cost]]-cloudSense[[#This Row],[actual_used_cost]])/cloudSense[[#This Row],[allocated_cost]]*100)*0.01</f>
        <v>0.72</v>
      </c>
      <c r="K164" s="13">
        <f>IF('cloudSense'!E164="",AVERAGE('cloudSense'!$E$2:$E$201),'cloudSense'!E164)</f>
        <v>17</v>
      </c>
    </row>
    <row r="165" spans="1:11" x14ac:dyDescent="0.3">
      <c r="A165" s="10">
        <v>164</v>
      </c>
      <c r="B165" s="11">
        <v>45739</v>
      </c>
      <c r="C165" s="4">
        <v>315</v>
      </c>
      <c r="D165" s="4">
        <v>600</v>
      </c>
      <c r="E165" s="4">
        <v>530</v>
      </c>
      <c r="F165" s="4" t="s">
        <v>17</v>
      </c>
      <c r="G165" s="4" t="s">
        <v>18</v>
      </c>
      <c r="H165" s="4" t="str">
        <f>PROPER(TRIM(cloudSense[[#This Row],[resource_status]]))</f>
        <v>Active</v>
      </c>
      <c r="I165" s="4">
        <f>cloudSense[[#This Row],[allocated_cost]]-cloudSense[[#This Row],[actual_used_cost]]</f>
        <v>70</v>
      </c>
      <c r="J165" s="12">
        <f>((cloudSense[[#This Row],[allocated_cost]]-cloudSense[[#This Row],[actual_used_cost]])/cloudSense[[#This Row],[allocated_cost]]*100)*0.01</f>
        <v>0.11666666666666667</v>
      </c>
      <c r="K165" s="13">
        <f>IF('cloudSense'!E165="",AVERAGE('cloudSense'!$E$2:$E$201),'cloudSense'!E165)</f>
        <v>64</v>
      </c>
    </row>
    <row r="166" spans="1:11" x14ac:dyDescent="0.3">
      <c r="A166" s="10">
        <v>165</v>
      </c>
      <c r="B166" s="11">
        <v>45740</v>
      </c>
      <c r="C166" s="4">
        <v>27</v>
      </c>
      <c r="D166" s="4">
        <v>200</v>
      </c>
      <c r="E166" s="4">
        <v>57</v>
      </c>
      <c r="F166" s="4" t="s">
        <v>28</v>
      </c>
      <c r="G166" s="4" t="s">
        <v>20</v>
      </c>
      <c r="H166" s="4" t="str">
        <f>PROPER(TRIM(cloudSense[[#This Row],[resource_status]]))</f>
        <v>Idle</v>
      </c>
      <c r="I166" s="4">
        <f>cloudSense[[#This Row],[allocated_cost]]-cloudSense[[#This Row],[actual_used_cost]]</f>
        <v>143</v>
      </c>
      <c r="J166" s="12">
        <f>((cloudSense[[#This Row],[allocated_cost]]-cloudSense[[#This Row],[actual_used_cost]])/cloudSense[[#This Row],[allocated_cost]]*100)*0.01</f>
        <v>0.71499999999999997</v>
      </c>
      <c r="K166" s="13">
        <f>IF('cloudSense'!E166="",AVERAGE('cloudSense'!$E$2:$E$201),'cloudSense'!E166)</f>
        <v>5</v>
      </c>
    </row>
    <row r="167" spans="1:11" x14ac:dyDescent="0.3">
      <c r="A167" s="10">
        <v>166</v>
      </c>
      <c r="B167" s="11">
        <v>45740</v>
      </c>
      <c r="C167" s="4">
        <v>510</v>
      </c>
      <c r="D167" s="4">
        <v>700</v>
      </c>
      <c r="E167" s="4">
        <v>680</v>
      </c>
      <c r="F167" s="4" t="s">
        <v>12</v>
      </c>
      <c r="G167" s="4" t="s">
        <v>13</v>
      </c>
      <c r="H167" s="4" t="str">
        <f>PROPER(TRIM(cloudSense[[#This Row],[resource_status]]))</f>
        <v>Active</v>
      </c>
      <c r="I167" s="4">
        <f>cloudSense[[#This Row],[allocated_cost]]-cloudSense[[#This Row],[actual_used_cost]]</f>
        <v>20</v>
      </c>
      <c r="J167" s="12">
        <f>((cloudSense[[#This Row],[allocated_cost]]-cloudSense[[#This Row],[actual_used_cost]])/cloudSense[[#This Row],[allocated_cost]]*100)*0.01</f>
        <v>2.8571428571428574E-2</v>
      </c>
      <c r="K167" s="13">
        <f>IF('cloudSense'!E167="",AVERAGE('cloudSense'!$E$2:$E$201),'cloudSense'!E167)</f>
        <v>88</v>
      </c>
    </row>
    <row r="168" spans="1:11" x14ac:dyDescent="0.3">
      <c r="A168" s="10">
        <v>167</v>
      </c>
      <c r="B168" s="11">
        <v>45741</v>
      </c>
      <c r="C168" s="4">
        <v>190</v>
      </c>
      <c r="D168" s="4">
        <v>500</v>
      </c>
      <c r="E168" s="4">
        <v>360</v>
      </c>
      <c r="F168" s="4" t="s">
        <v>9</v>
      </c>
      <c r="G168" s="4" t="s">
        <v>10</v>
      </c>
      <c r="H168" s="4" t="str">
        <f>PROPER(TRIM(cloudSense[[#This Row],[resource_status]]))</f>
        <v>Active</v>
      </c>
      <c r="I168" s="4">
        <f>cloudSense[[#This Row],[allocated_cost]]-cloudSense[[#This Row],[actual_used_cost]]</f>
        <v>140</v>
      </c>
      <c r="J168" s="12">
        <f>((cloudSense[[#This Row],[allocated_cost]]-cloudSense[[#This Row],[actual_used_cost]])/cloudSense[[#This Row],[allocated_cost]]*100)*0.01</f>
        <v>0.28000000000000003</v>
      </c>
      <c r="K168" s="13">
        <f>IF('cloudSense'!E168="",AVERAGE('cloudSense'!$E$2:$E$201),'cloudSense'!E168)</f>
        <v>43</v>
      </c>
    </row>
    <row r="169" spans="1:11" x14ac:dyDescent="0.3">
      <c r="A169" s="10">
        <v>168</v>
      </c>
      <c r="B169" s="11">
        <v>45741</v>
      </c>
      <c r="C169" s="4">
        <v>240</v>
      </c>
      <c r="D169" s="4">
        <v>600</v>
      </c>
      <c r="E169" s="4">
        <v>200</v>
      </c>
      <c r="F169" s="4" t="s">
        <v>17</v>
      </c>
      <c r="G169" s="4" t="s">
        <v>18</v>
      </c>
      <c r="H169" s="4" t="str">
        <f>PROPER(TRIM(cloudSense[[#This Row],[resource_status]]))</f>
        <v>Idle</v>
      </c>
      <c r="I169" s="4">
        <f>cloudSense[[#This Row],[allocated_cost]]-cloudSense[[#This Row],[actual_used_cost]]</f>
        <v>400</v>
      </c>
      <c r="J169" s="12">
        <f>((cloudSense[[#This Row],[allocated_cost]]-cloudSense[[#This Row],[actual_used_cost]])/cloudSense[[#This Row],[allocated_cost]]*100)*0.01</f>
        <v>0.66666666666666663</v>
      </c>
      <c r="K169" s="13">
        <f>IF('cloudSense'!E169="",AVERAGE('cloudSense'!$E$2:$E$201),'cloudSense'!E169)</f>
        <v>28</v>
      </c>
    </row>
    <row r="170" spans="1:11" x14ac:dyDescent="0.3">
      <c r="A170" s="10">
        <v>169</v>
      </c>
      <c r="B170" s="11">
        <v>45742</v>
      </c>
      <c r="C170" s="4">
        <v>285</v>
      </c>
      <c r="D170" s="4">
        <v>500</v>
      </c>
      <c r="E170" s="4">
        <v>490</v>
      </c>
      <c r="F170" s="4" t="s">
        <v>9</v>
      </c>
      <c r="G170" s="4" t="s">
        <v>10</v>
      </c>
      <c r="H170" s="4" t="str">
        <f>PROPER(TRIM(cloudSense[[#This Row],[resource_status]]))</f>
        <v>Active</v>
      </c>
      <c r="I170" s="4">
        <f>cloudSense[[#This Row],[allocated_cost]]-cloudSense[[#This Row],[actual_used_cost]]</f>
        <v>10</v>
      </c>
      <c r="J170" s="12">
        <f>((cloudSense[[#This Row],[allocated_cost]]-cloudSense[[#This Row],[actual_used_cost]])/cloudSense[[#This Row],[allocated_cost]]*100)*0.01</f>
        <v>0.02</v>
      </c>
      <c r="K170" s="13">
        <f>IF('cloudSense'!E170="",AVERAGE('cloudSense'!$E$2:$E$201),'cloudSense'!E170)</f>
        <v>94</v>
      </c>
    </row>
    <row r="171" spans="1:11" x14ac:dyDescent="0.3">
      <c r="A171" s="10">
        <v>170</v>
      </c>
      <c r="B171" s="11">
        <v>45742</v>
      </c>
      <c r="C171" s="4">
        <v>540</v>
      </c>
      <c r="D171" s="4">
        <v>700</v>
      </c>
      <c r="E171" s="4">
        <v>460</v>
      </c>
      <c r="F171" s="4" t="s">
        <v>12</v>
      </c>
      <c r="G171" s="4" t="s">
        <v>13</v>
      </c>
      <c r="H171" s="4" t="str">
        <f>PROPER(TRIM(cloudSense[[#This Row],[resource_status]]))</f>
        <v>Active</v>
      </c>
      <c r="I171" s="4">
        <f>cloudSense[[#This Row],[allocated_cost]]-cloudSense[[#This Row],[actual_used_cost]]</f>
        <v>240</v>
      </c>
      <c r="J171" s="12">
        <f>((cloudSense[[#This Row],[allocated_cost]]-cloudSense[[#This Row],[actual_used_cost]])/cloudSense[[#This Row],[allocated_cost]]*100)*0.01</f>
        <v>0.34285714285714286</v>
      </c>
      <c r="K171" s="13">
        <f>IF('cloudSense'!E171="",AVERAGE('cloudSense'!$E$2:$E$201),'cloudSense'!E171)</f>
        <v>61</v>
      </c>
    </row>
    <row r="172" spans="1:11" x14ac:dyDescent="0.3">
      <c r="A172" s="10">
        <v>171</v>
      </c>
      <c r="B172" s="11">
        <v>45743</v>
      </c>
      <c r="C172" s="4">
        <v>106</v>
      </c>
      <c r="D172" s="4">
        <v>500</v>
      </c>
      <c r="E172" s="4">
        <v>130</v>
      </c>
      <c r="F172" s="4" t="s">
        <v>9</v>
      </c>
      <c r="G172" s="4" t="s">
        <v>10</v>
      </c>
      <c r="H172" s="4" t="str">
        <f>PROPER(TRIM(cloudSense[[#This Row],[resource_status]]))</f>
        <v>Idle</v>
      </c>
      <c r="I172" s="4">
        <f>cloudSense[[#This Row],[allocated_cost]]-cloudSense[[#This Row],[actual_used_cost]]</f>
        <v>370</v>
      </c>
      <c r="J172" s="12">
        <f>((cloudSense[[#This Row],[allocated_cost]]-cloudSense[[#This Row],[actual_used_cost]])/cloudSense[[#This Row],[allocated_cost]]*100)*0.01</f>
        <v>0.74</v>
      </c>
      <c r="K172" s="13">
        <f>IF('cloudSense'!E172="",AVERAGE('cloudSense'!$E$2:$E$201),'cloudSense'!E172)</f>
        <v>16</v>
      </c>
    </row>
    <row r="173" spans="1:11" x14ac:dyDescent="0.3">
      <c r="A173" s="10">
        <v>172</v>
      </c>
      <c r="B173" s="11">
        <v>45743</v>
      </c>
      <c r="C173" s="4">
        <v>398</v>
      </c>
      <c r="D173" s="4">
        <v>600</v>
      </c>
      <c r="E173" s="4">
        <v>600</v>
      </c>
      <c r="F173" s="4" t="s">
        <v>17</v>
      </c>
      <c r="G173" s="4" t="s">
        <v>20</v>
      </c>
      <c r="H173" s="4" t="str">
        <f>PROPER(TRIM(cloudSense[[#This Row],[resource_status]]))</f>
        <v>Active</v>
      </c>
      <c r="I173" s="4">
        <f>cloudSense[[#This Row],[allocated_cost]]-cloudSense[[#This Row],[actual_used_cost]]</f>
        <v>0</v>
      </c>
      <c r="J173" s="12">
        <f>((cloudSense[[#This Row],[allocated_cost]]-cloudSense[[#This Row],[actual_used_cost]])/cloudSense[[#This Row],[allocated_cost]]*100)*0.01</f>
        <v>0</v>
      </c>
      <c r="K173" s="13">
        <f>IF('cloudSense'!E173="",AVERAGE('cloudSense'!$E$2:$E$201),'cloudSense'!E173)</f>
        <v>87</v>
      </c>
    </row>
    <row r="174" spans="1:11" x14ac:dyDescent="0.3">
      <c r="A174" s="10">
        <v>173</v>
      </c>
      <c r="B174" s="11">
        <v>45744</v>
      </c>
      <c r="C174" s="4">
        <v>19</v>
      </c>
      <c r="D174" s="4">
        <v>200</v>
      </c>
      <c r="E174" s="4">
        <v>45</v>
      </c>
      <c r="F174" s="4" t="s">
        <v>28</v>
      </c>
      <c r="G174" s="4" t="s">
        <v>13</v>
      </c>
      <c r="H174" s="4" t="str">
        <f>PROPER(TRIM(cloudSense[[#This Row],[resource_status]]))</f>
        <v>Idle</v>
      </c>
      <c r="I174" s="4">
        <f>cloudSense[[#This Row],[allocated_cost]]-cloudSense[[#This Row],[actual_used_cost]]</f>
        <v>155</v>
      </c>
      <c r="J174" s="12">
        <f>((cloudSense[[#This Row],[allocated_cost]]-cloudSense[[#This Row],[actual_used_cost]])/cloudSense[[#This Row],[allocated_cost]]*100)*0.01</f>
        <v>0.77500000000000002</v>
      </c>
      <c r="K174" s="13">
        <f>IF('cloudSense'!E174="",AVERAGE('cloudSense'!$E$2:$E$201),'cloudSense'!E174)</f>
        <v>3</v>
      </c>
    </row>
    <row r="175" spans="1:11" x14ac:dyDescent="0.3">
      <c r="A175" s="10">
        <v>174</v>
      </c>
      <c r="B175" s="11">
        <v>45744</v>
      </c>
      <c r="C175" s="4">
        <v>560</v>
      </c>
      <c r="D175" s="4">
        <v>700</v>
      </c>
      <c r="E175" s="4">
        <v>699</v>
      </c>
      <c r="F175" s="4" t="s">
        <v>12</v>
      </c>
      <c r="G175" s="4" t="s">
        <v>13</v>
      </c>
      <c r="H175" s="4" t="str">
        <f>PROPER(TRIM(cloudSense[[#This Row],[resource_status]]))</f>
        <v>Active</v>
      </c>
      <c r="I175" s="4">
        <f>cloudSense[[#This Row],[allocated_cost]]-cloudSense[[#This Row],[actual_used_cost]]</f>
        <v>1</v>
      </c>
      <c r="J175" s="12">
        <f>((cloudSense[[#This Row],[allocated_cost]]-cloudSense[[#This Row],[actual_used_cost]])/cloudSense[[#This Row],[allocated_cost]]*100)*0.01</f>
        <v>1.4285714285714286E-3</v>
      </c>
      <c r="K175" s="13">
        <f>IF('cloudSense'!E175="",AVERAGE('cloudSense'!$E$2:$E$201),'cloudSense'!E175)</f>
        <v>97</v>
      </c>
    </row>
    <row r="176" spans="1:11" x14ac:dyDescent="0.3">
      <c r="A176" s="10">
        <v>175</v>
      </c>
      <c r="B176" s="11">
        <v>45745</v>
      </c>
      <c r="C176" s="4">
        <v>175</v>
      </c>
      <c r="D176" s="4">
        <v>500</v>
      </c>
      <c r="E176" s="4">
        <v>305</v>
      </c>
      <c r="F176" s="4" t="s">
        <v>9</v>
      </c>
      <c r="G176" s="4" t="s">
        <v>10</v>
      </c>
      <c r="H176" s="4" t="str">
        <f>PROPER(TRIM(cloudSense[[#This Row],[resource_status]]))</f>
        <v>Active</v>
      </c>
      <c r="I176" s="4">
        <f>cloudSense[[#This Row],[allocated_cost]]-cloudSense[[#This Row],[actual_used_cost]]</f>
        <v>195</v>
      </c>
      <c r="J176" s="12">
        <f>((cloudSense[[#This Row],[allocated_cost]]-cloudSense[[#This Row],[actual_used_cost]])/cloudSense[[#This Row],[allocated_cost]]*100)*0.01</f>
        <v>0.39</v>
      </c>
      <c r="K176" s="13">
        <f>IF('cloudSense'!E176="",AVERAGE('cloudSense'!$E$2:$E$201),'cloudSense'!E176)</f>
        <v>37</v>
      </c>
    </row>
    <row r="177" spans="1:11" x14ac:dyDescent="0.3">
      <c r="A177" s="10">
        <v>176</v>
      </c>
      <c r="B177" s="11">
        <v>45745</v>
      </c>
      <c r="C177" s="4">
        <v>295</v>
      </c>
      <c r="D177" s="4">
        <v>600</v>
      </c>
      <c r="E177" s="4">
        <v>410</v>
      </c>
      <c r="F177" s="4" t="s">
        <v>17</v>
      </c>
      <c r="G177" s="4" t="s">
        <v>18</v>
      </c>
      <c r="H177" s="4" t="str">
        <f>PROPER(TRIM(cloudSense[[#This Row],[resource_status]]))</f>
        <v>Idle</v>
      </c>
      <c r="I177" s="4">
        <f>cloudSense[[#This Row],[allocated_cost]]-cloudSense[[#This Row],[actual_used_cost]]</f>
        <v>190</v>
      </c>
      <c r="J177" s="12">
        <f>((cloudSense[[#This Row],[allocated_cost]]-cloudSense[[#This Row],[actual_used_cost]])/cloudSense[[#This Row],[allocated_cost]]*100)*0.01</f>
        <v>0.31666666666666665</v>
      </c>
      <c r="K177" s="13">
        <f>IF('cloudSense'!E177="",AVERAGE('cloudSense'!$E$2:$E$201),'cloudSense'!E177)</f>
        <v>47.111111111111114</v>
      </c>
    </row>
    <row r="178" spans="1:11" x14ac:dyDescent="0.3">
      <c r="A178" s="10">
        <v>177</v>
      </c>
      <c r="B178" s="11">
        <v>45746</v>
      </c>
      <c r="C178" s="4">
        <v>30</v>
      </c>
      <c r="D178" s="4">
        <v>200</v>
      </c>
      <c r="E178" s="4">
        <v>60</v>
      </c>
      <c r="F178" s="4" t="s">
        <v>28</v>
      </c>
      <c r="G178" s="4" t="s">
        <v>20</v>
      </c>
      <c r="H178" s="4" t="str">
        <f>PROPER(TRIM(cloudSense[[#This Row],[resource_status]]))</f>
        <v>Idle</v>
      </c>
      <c r="I178" s="4">
        <f>cloudSense[[#This Row],[allocated_cost]]-cloudSense[[#This Row],[actual_used_cost]]</f>
        <v>140</v>
      </c>
      <c r="J178" s="12">
        <f>((cloudSense[[#This Row],[allocated_cost]]-cloudSense[[#This Row],[actual_used_cost]])/cloudSense[[#This Row],[allocated_cost]]*100)*0.01</f>
        <v>0.70000000000000007</v>
      </c>
      <c r="K178" s="13">
        <f>IF('cloudSense'!E178="",AVERAGE('cloudSense'!$E$2:$E$201),'cloudSense'!E178)</f>
        <v>6</v>
      </c>
    </row>
    <row r="179" spans="1:11" x14ac:dyDescent="0.3">
      <c r="A179" s="10">
        <v>178</v>
      </c>
      <c r="B179" s="11">
        <v>45746</v>
      </c>
      <c r="C179" s="4">
        <v>590</v>
      </c>
      <c r="D179" s="4">
        <v>700</v>
      </c>
      <c r="E179" s="4">
        <v>700</v>
      </c>
      <c r="F179" s="4" t="s">
        <v>12</v>
      </c>
      <c r="G179" s="4" t="s">
        <v>13</v>
      </c>
      <c r="H179" s="4" t="str">
        <f>PROPER(TRIM(cloudSense[[#This Row],[resource_status]]))</f>
        <v>Active</v>
      </c>
      <c r="I179" s="4">
        <f>cloudSense[[#This Row],[allocated_cost]]-cloudSense[[#This Row],[actual_used_cost]]</f>
        <v>0</v>
      </c>
      <c r="J179" s="12">
        <f>((cloudSense[[#This Row],[allocated_cost]]-cloudSense[[#This Row],[actual_used_cost]])/cloudSense[[#This Row],[allocated_cost]]*100)*0.01</f>
        <v>0</v>
      </c>
      <c r="K179" s="13">
        <f>IF('cloudSense'!E179="",AVERAGE('cloudSense'!$E$2:$E$201),'cloudSense'!E179)</f>
        <v>100</v>
      </c>
    </row>
    <row r="180" spans="1:11" x14ac:dyDescent="0.3">
      <c r="A180" s="10">
        <v>179</v>
      </c>
      <c r="B180" s="11">
        <v>45747</v>
      </c>
      <c r="C180" s="4">
        <v>122</v>
      </c>
      <c r="D180" s="4">
        <v>500</v>
      </c>
      <c r="E180" s="4">
        <v>200</v>
      </c>
      <c r="F180" s="4" t="s">
        <v>9</v>
      </c>
      <c r="G180" s="4" t="s">
        <v>10</v>
      </c>
      <c r="H180" s="4" t="str">
        <f>PROPER(TRIM(cloudSense[[#This Row],[resource_status]]))</f>
        <v>Idle</v>
      </c>
      <c r="I180" s="4">
        <f>cloudSense[[#This Row],[allocated_cost]]-cloudSense[[#This Row],[actual_used_cost]]</f>
        <v>300</v>
      </c>
      <c r="J180" s="12">
        <f>((cloudSense[[#This Row],[allocated_cost]]-cloudSense[[#This Row],[actual_used_cost]])/cloudSense[[#This Row],[allocated_cost]]*100)*0.01</f>
        <v>0.6</v>
      </c>
      <c r="K180" s="13">
        <f>IF('cloudSense'!E180="",AVERAGE('cloudSense'!$E$2:$E$201),'cloudSense'!E180)</f>
        <v>22</v>
      </c>
    </row>
    <row r="181" spans="1:11" x14ac:dyDescent="0.3">
      <c r="A181" s="10">
        <v>180</v>
      </c>
      <c r="B181" s="11">
        <v>45747</v>
      </c>
      <c r="C181" s="4">
        <v>332</v>
      </c>
      <c r="D181" s="4">
        <v>600</v>
      </c>
      <c r="E181" s="4">
        <v>592</v>
      </c>
      <c r="F181" s="4" t="s">
        <v>17</v>
      </c>
      <c r="G181" s="4" t="s">
        <v>18</v>
      </c>
      <c r="H181" s="4" t="str">
        <f>PROPER(TRIM(cloudSense[[#This Row],[resource_status]]))</f>
        <v>Active</v>
      </c>
      <c r="I181" s="4">
        <f>cloudSense[[#This Row],[allocated_cost]]-cloudSense[[#This Row],[actual_used_cost]]</f>
        <v>8</v>
      </c>
      <c r="J181" s="12">
        <f>((cloudSense[[#This Row],[allocated_cost]]-cloudSense[[#This Row],[actual_used_cost]])/cloudSense[[#This Row],[allocated_cost]]*100)*0.01</f>
        <v>1.3333333333333336E-2</v>
      </c>
      <c r="K181" s="13">
        <f>IF('cloudSense'!E181="",AVERAGE('cloudSense'!$E$2:$E$201),'cloudSense'!E181)</f>
        <v>76</v>
      </c>
    </row>
    <row r="182" spans="1:11" x14ac:dyDescent="0.3">
      <c r="A182" s="10">
        <v>181</v>
      </c>
      <c r="B182" s="11">
        <v>45748</v>
      </c>
      <c r="C182" s="4">
        <v>182</v>
      </c>
      <c r="D182" s="4">
        <v>500</v>
      </c>
      <c r="E182" s="4">
        <v>320</v>
      </c>
      <c r="F182" s="4" t="s">
        <v>9</v>
      </c>
      <c r="G182" s="4" t="s">
        <v>10</v>
      </c>
      <c r="H182" s="4" t="str">
        <f>PROPER(TRIM(cloudSense[[#This Row],[resource_status]]))</f>
        <v>Active</v>
      </c>
      <c r="I182" s="4">
        <f>cloudSense[[#This Row],[allocated_cost]]-cloudSense[[#This Row],[actual_used_cost]]</f>
        <v>180</v>
      </c>
      <c r="J182" s="12">
        <f>((cloudSense[[#This Row],[allocated_cost]]-cloudSense[[#This Row],[actual_used_cost]])/cloudSense[[#This Row],[allocated_cost]]*100)*0.01</f>
        <v>0.36</v>
      </c>
      <c r="K182" s="13">
        <f>IF('cloudSense'!E182="",AVERAGE('cloudSense'!$E$2:$E$201),'cloudSense'!E182)</f>
        <v>40</v>
      </c>
    </row>
    <row r="183" spans="1:11" x14ac:dyDescent="0.3">
      <c r="A183" s="10">
        <v>182</v>
      </c>
      <c r="B183" s="11">
        <v>45748</v>
      </c>
      <c r="C183" s="4">
        <v>475</v>
      </c>
      <c r="D183" s="4">
        <v>700</v>
      </c>
      <c r="E183" s="4">
        <v>665</v>
      </c>
      <c r="F183" s="4" t="s">
        <v>12</v>
      </c>
      <c r="G183" s="4" t="s">
        <v>13</v>
      </c>
      <c r="H183" s="4" t="str">
        <f>PROPER(TRIM(cloudSense[[#This Row],[resource_status]]))</f>
        <v>Active</v>
      </c>
      <c r="I183" s="4">
        <f>cloudSense[[#This Row],[allocated_cost]]-cloudSense[[#This Row],[actual_used_cost]]</f>
        <v>35</v>
      </c>
      <c r="J183" s="12">
        <f>((cloudSense[[#This Row],[allocated_cost]]-cloudSense[[#This Row],[actual_used_cost]])/cloudSense[[#This Row],[allocated_cost]]*100)*0.01</f>
        <v>0.05</v>
      </c>
      <c r="K183" s="13">
        <f>IF('cloudSense'!E183="",AVERAGE('cloudSense'!$E$2:$E$201),'cloudSense'!E183)</f>
        <v>80</v>
      </c>
    </row>
    <row r="184" spans="1:11" x14ac:dyDescent="0.3">
      <c r="A184" s="10">
        <v>183</v>
      </c>
      <c r="B184" s="11">
        <v>45749</v>
      </c>
      <c r="C184" s="4">
        <v>112</v>
      </c>
      <c r="D184" s="4">
        <v>500</v>
      </c>
      <c r="E184" s="4">
        <v>145</v>
      </c>
      <c r="F184" s="4" t="s">
        <v>9</v>
      </c>
      <c r="G184" s="4" t="s">
        <v>10</v>
      </c>
      <c r="H184" s="4" t="str">
        <f>PROPER(TRIM(cloudSense[[#This Row],[resource_status]]))</f>
        <v>Idle</v>
      </c>
      <c r="I184" s="4">
        <f>cloudSense[[#This Row],[allocated_cost]]-cloudSense[[#This Row],[actual_used_cost]]</f>
        <v>355</v>
      </c>
      <c r="J184" s="12">
        <f>((cloudSense[[#This Row],[allocated_cost]]-cloudSense[[#This Row],[actual_used_cost]])/cloudSense[[#This Row],[allocated_cost]]*100)*0.01</f>
        <v>0.71</v>
      </c>
      <c r="K184" s="13">
        <f>IF('cloudSense'!E184="",AVERAGE('cloudSense'!$E$2:$E$201),'cloudSense'!E184)</f>
        <v>18</v>
      </c>
    </row>
    <row r="185" spans="1:11" x14ac:dyDescent="0.3">
      <c r="A185" s="10">
        <v>184</v>
      </c>
      <c r="B185" s="11">
        <v>45749</v>
      </c>
      <c r="C185" s="4">
        <v>318</v>
      </c>
      <c r="D185" s="4">
        <v>600</v>
      </c>
      <c r="E185" s="4">
        <v>535</v>
      </c>
      <c r="F185" s="4" t="s">
        <v>17</v>
      </c>
      <c r="G185" s="4" t="s">
        <v>18</v>
      </c>
      <c r="H185" s="4" t="str">
        <f>PROPER(TRIM(cloudSense[[#This Row],[resource_status]]))</f>
        <v>Active</v>
      </c>
      <c r="I185" s="4">
        <f>cloudSense[[#This Row],[allocated_cost]]-cloudSense[[#This Row],[actual_used_cost]]</f>
        <v>65</v>
      </c>
      <c r="J185" s="12">
        <f>((cloudSense[[#This Row],[allocated_cost]]-cloudSense[[#This Row],[actual_used_cost]])/cloudSense[[#This Row],[allocated_cost]]*100)*0.01</f>
        <v>0.10833333333333334</v>
      </c>
      <c r="K185" s="13">
        <f>IF('cloudSense'!E185="",AVERAGE('cloudSense'!$E$2:$E$201),'cloudSense'!E185)</f>
        <v>65</v>
      </c>
    </row>
    <row r="186" spans="1:11" x14ac:dyDescent="0.3">
      <c r="A186" s="10">
        <v>185</v>
      </c>
      <c r="B186" s="11">
        <v>45750</v>
      </c>
      <c r="C186" s="4">
        <v>28</v>
      </c>
      <c r="D186" s="4">
        <v>200</v>
      </c>
      <c r="E186" s="4">
        <v>58</v>
      </c>
      <c r="F186" s="4" t="s">
        <v>28</v>
      </c>
      <c r="G186" s="4" t="s">
        <v>20</v>
      </c>
      <c r="H186" s="4" t="str">
        <f>PROPER(TRIM(cloudSense[[#This Row],[resource_status]]))</f>
        <v>Idle</v>
      </c>
      <c r="I186" s="4">
        <f>cloudSense[[#This Row],[allocated_cost]]-cloudSense[[#This Row],[actual_used_cost]]</f>
        <v>142</v>
      </c>
      <c r="J186" s="12">
        <f>((cloudSense[[#This Row],[allocated_cost]]-cloudSense[[#This Row],[actual_used_cost]])/cloudSense[[#This Row],[allocated_cost]]*100)*0.01</f>
        <v>0.71</v>
      </c>
      <c r="K186" s="13">
        <f>IF('cloudSense'!E186="",AVERAGE('cloudSense'!$E$2:$E$201),'cloudSense'!E186)</f>
        <v>5</v>
      </c>
    </row>
    <row r="187" spans="1:11" x14ac:dyDescent="0.3">
      <c r="A187" s="10">
        <v>186</v>
      </c>
      <c r="B187" s="11">
        <v>45750</v>
      </c>
      <c r="C187" s="4">
        <v>515</v>
      </c>
      <c r="D187" s="4">
        <v>700</v>
      </c>
      <c r="E187" s="4">
        <v>685</v>
      </c>
      <c r="F187" s="4" t="s">
        <v>12</v>
      </c>
      <c r="G187" s="4" t="s">
        <v>13</v>
      </c>
      <c r="H187" s="4" t="str">
        <f>PROPER(TRIM(cloudSense[[#This Row],[resource_status]]))</f>
        <v>Active</v>
      </c>
      <c r="I187" s="4">
        <f>cloudSense[[#This Row],[allocated_cost]]-cloudSense[[#This Row],[actual_used_cost]]</f>
        <v>15</v>
      </c>
      <c r="J187" s="12">
        <f>((cloudSense[[#This Row],[allocated_cost]]-cloudSense[[#This Row],[actual_used_cost]])/cloudSense[[#This Row],[allocated_cost]]*100)*0.01</f>
        <v>2.1428571428571429E-2</v>
      </c>
      <c r="K187" s="13">
        <f>IF('cloudSense'!E187="",AVERAGE('cloudSense'!$E$2:$E$201),'cloudSense'!E187)</f>
        <v>89</v>
      </c>
    </row>
    <row r="188" spans="1:11" x14ac:dyDescent="0.3">
      <c r="A188" s="10">
        <v>187</v>
      </c>
      <c r="B188" s="11">
        <v>45751</v>
      </c>
      <c r="C188" s="4">
        <v>195</v>
      </c>
      <c r="D188" s="4">
        <v>500</v>
      </c>
      <c r="E188" s="4">
        <v>365</v>
      </c>
      <c r="F188" s="4" t="s">
        <v>9</v>
      </c>
      <c r="G188" s="4" t="s">
        <v>10</v>
      </c>
      <c r="H188" s="4" t="str">
        <f>PROPER(TRIM(cloudSense[[#This Row],[resource_status]]))</f>
        <v>Active</v>
      </c>
      <c r="I188" s="4">
        <f>cloudSense[[#This Row],[allocated_cost]]-cloudSense[[#This Row],[actual_used_cost]]</f>
        <v>135</v>
      </c>
      <c r="J188" s="12">
        <f>((cloudSense[[#This Row],[allocated_cost]]-cloudSense[[#This Row],[actual_used_cost]])/cloudSense[[#This Row],[allocated_cost]]*100)*0.01</f>
        <v>0.27</v>
      </c>
      <c r="K188" s="13">
        <f>IF('cloudSense'!E188="",AVERAGE('cloudSense'!$E$2:$E$201),'cloudSense'!E188)</f>
        <v>44</v>
      </c>
    </row>
    <row r="189" spans="1:11" x14ac:dyDescent="0.3">
      <c r="A189" s="10">
        <v>188</v>
      </c>
      <c r="B189" s="11">
        <v>45751</v>
      </c>
      <c r="C189" s="4">
        <v>245</v>
      </c>
      <c r="D189" s="4">
        <v>600</v>
      </c>
      <c r="E189" s="4">
        <v>205</v>
      </c>
      <c r="F189" s="4" t="s">
        <v>17</v>
      </c>
      <c r="G189" s="4" t="s">
        <v>18</v>
      </c>
      <c r="H189" s="4" t="str">
        <f>PROPER(TRIM(cloudSense[[#This Row],[resource_status]]))</f>
        <v>Idle</v>
      </c>
      <c r="I189" s="4">
        <f>cloudSense[[#This Row],[allocated_cost]]-cloudSense[[#This Row],[actual_used_cost]]</f>
        <v>395</v>
      </c>
      <c r="J189" s="12">
        <f>((cloudSense[[#This Row],[allocated_cost]]-cloudSense[[#This Row],[actual_used_cost]])/cloudSense[[#This Row],[allocated_cost]]*100)*0.01</f>
        <v>0.65833333333333333</v>
      </c>
      <c r="K189" s="13">
        <f>IF('cloudSense'!E189="",AVERAGE('cloudSense'!$E$2:$E$201),'cloudSense'!E189)</f>
        <v>29</v>
      </c>
    </row>
    <row r="190" spans="1:11" x14ac:dyDescent="0.3">
      <c r="A190" s="10">
        <v>189</v>
      </c>
      <c r="B190" s="11">
        <v>45752</v>
      </c>
      <c r="C190" s="4">
        <v>290</v>
      </c>
      <c r="D190" s="4">
        <v>500</v>
      </c>
      <c r="E190" s="4">
        <v>492</v>
      </c>
      <c r="F190" s="4" t="s">
        <v>9</v>
      </c>
      <c r="G190" s="4" t="s">
        <v>10</v>
      </c>
      <c r="H190" s="4" t="str">
        <f>PROPER(TRIM(cloudSense[[#This Row],[resource_status]]))</f>
        <v>Active</v>
      </c>
      <c r="I190" s="4">
        <f>cloudSense[[#This Row],[allocated_cost]]-cloudSense[[#This Row],[actual_used_cost]]</f>
        <v>8</v>
      </c>
      <c r="J190" s="12">
        <f>((cloudSense[[#This Row],[allocated_cost]]-cloudSense[[#This Row],[actual_used_cost]])/cloudSense[[#This Row],[allocated_cost]]*100)*0.01</f>
        <v>1.6E-2</v>
      </c>
      <c r="K190" s="13">
        <f>IF('cloudSense'!E190="",AVERAGE('cloudSense'!$E$2:$E$201),'cloudSense'!E190)</f>
        <v>95</v>
      </c>
    </row>
    <row r="191" spans="1:11" x14ac:dyDescent="0.3">
      <c r="A191" s="10">
        <v>190</v>
      </c>
      <c r="B191" s="11">
        <v>45752</v>
      </c>
      <c r="C191" s="4">
        <v>545</v>
      </c>
      <c r="D191" s="4">
        <v>700</v>
      </c>
      <c r="E191" s="4">
        <v>465</v>
      </c>
      <c r="F191" s="4" t="s">
        <v>12</v>
      </c>
      <c r="G191" s="4" t="s">
        <v>13</v>
      </c>
      <c r="H191" s="4" t="str">
        <f>PROPER(TRIM(cloudSense[[#This Row],[resource_status]]))</f>
        <v>Active</v>
      </c>
      <c r="I191" s="4">
        <f>cloudSense[[#This Row],[allocated_cost]]-cloudSense[[#This Row],[actual_used_cost]]</f>
        <v>235</v>
      </c>
      <c r="J191" s="12">
        <f>((cloudSense[[#This Row],[allocated_cost]]-cloudSense[[#This Row],[actual_used_cost]])/cloudSense[[#This Row],[allocated_cost]]*100)*0.01</f>
        <v>0.33571428571428569</v>
      </c>
      <c r="K191" s="13">
        <f>IF('cloudSense'!E191="",AVERAGE('cloudSense'!$E$2:$E$201),'cloudSense'!E191)</f>
        <v>62</v>
      </c>
    </row>
    <row r="192" spans="1:11" x14ac:dyDescent="0.3">
      <c r="A192" s="10">
        <v>191</v>
      </c>
      <c r="B192" s="11">
        <v>45753</v>
      </c>
      <c r="C192" s="4">
        <v>108</v>
      </c>
      <c r="D192" s="4">
        <v>500</v>
      </c>
      <c r="E192" s="4">
        <v>135</v>
      </c>
      <c r="F192" s="4" t="s">
        <v>9</v>
      </c>
      <c r="G192" s="4" t="s">
        <v>10</v>
      </c>
      <c r="H192" s="4" t="str">
        <f>PROPER(TRIM(cloudSense[[#This Row],[resource_status]]))</f>
        <v>Idle</v>
      </c>
      <c r="I192" s="4">
        <f>cloudSense[[#This Row],[allocated_cost]]-cloudSense[[#This Row],[actual_used_cost]]</f>
        <v>365</v>
      </c>
      <c r="J192" s="12">
        <f>((cloudSense[[#This Row],[allocated_cost]]-cloudSense[[#This Row],[actual_used_cost]])/cloudSense[[#This Row],[allocated_cost]]*100)*0.01</f>
        <v>0.73</v>
      </c>
      <c r="K192" s="13">
        <f>IF('cloudSense'!E192="",AVERAGE('cloudSense'!$E$2:$E$201),'cloudSense'!E192)</f>
        <v>17</v>
      </c>
    </row>
    <row r="193" spans="1:11" x14ac:dyDescent="0.3">
      <c r="A193" s="10">
        <v>192</v>
      </c>
      <c r="B193" s="11">
        <v>45753</v>
      </c>
      <c r="C193" s="4">
        <v>400</v>
      </c>
      <c r="D193" s="4">
        <v>600</v>
      </c>
      <c r="E193" s="4">
        <v>600</v>
      </c>
      <c r="F193" s="4" t="s">
        <v>17</v>
      </c>
      <c r="G193" s="4" t="s">
        <v>20</v>
      </c>
      <c r="H193" s="4" t="str">
        <f>PROPER(TRIM(cloudSense[[#This Row],[resource_status]]))</f>
        <v>Active</v>
      </c>
      <c r="I193" s="4">
        <f>cloudSense[[#This Row],[allocated_cost]]-cloudSense[[#This Row],[actual_used_cost]]</f>
        <v>0</v>
      </c>
      <c r="J193" s="12">
        <f>((cloudSense[[#This Row],[allocated_cost]]-cloudSense[[#This Row],[actual_used_cost]])/cloudSense[[#This Row],[allocated_cost]]*100)*0.01</f>
        <v>0</v>
      </c>
      <c r="K193" s="13">
        <f>IF('cloudSense'!E193="",AVERAGE('cloudSense'!$E$2:$E$201),'cloudSense'!E193)</f>
        <v>88</v>
      </c>
    </row>
    <row r="194" spans="1:11" x14ac:dyDescent="0.3">
      <c r="A194" s="10">
        <v>193</v>
      </c>
      <c r="B194" s="11">
        <v>45754</v>
      </c>
      <c r="C194" s="4">
        <v>20</v>
      </c>
      <c r="D194" s="4">
        <v>200</v>
      </c>
      <c r="E194" s="4">
        <v>46</v>
      </c>
      <c r="F194" s="4" t="s">
        <v>28</v>
      </c>
      <c r="G194" s="4" t="s">
        <v>13</v>
      </c>
      <c r="H194" s="4" t="str">
        <f>PROPER(TRIM(cloudSense[[#This Row],[resource_status]]))</f>
        <v>Idle</v>
      </c>
      <c r="I194" s="4">
        <f>cloudSense[[#This Row],[allocated_cost]]-cloudSense[[#This Row],[actual_used_cost]]</f>
        <v>154</v>
      </c>
      <c r="J194" s="12">
        <f>((cloudSense[[#This Row],[allocated_cost]]-cloudSense[[#This Row],[actual_used_cost]])/cloudSense[[#This Row],[allocated_cost]]*100)*0.01</f>
        <v>0.77</v>
      </c>
      <c r="K194" s="13">
        <f>IF('cloudSense'!E194="",AVERAGE('cloudSense'!$E$2:$E$201),'cloudSense'!E194)</f>
        <v>4</v>
      </c>
    </row>
    <row r="195" spans="1:11" x14ac:dyDescent="0.3">
      <c r="A195" s="10">
        <v>194</v>
      </c>
      <c r="B195" s="11">
        <v>45754</v>
      </c>
      <c r="C195" s="4">
        <v>565</v>
      </c>
      <c r="D195" s="4">
        <v>700</v>
      </c>
      <c r="E195" s="4">
        <v>699</v>
      </c>
      <c r="F195" s="4" t="s">
        <v>12</v>
      </c>
      <c r="G195" s="4" t="s">
        <v>13</v>
      </c>
      <c r="H195" s="4" t="str">
        <f>PROPER(TRIM(cloudSense[[#This Row],[resource_status]]))</f>
        <v>Active</v>
      </c>
      <c r="I195" s="4">
        <f>cloudSense[[#This Row],[allocated_cost]]-cloudSense[[#This Row],[actual_used_cost]]</f>
        <v>1</v>
      </c>
      <c r="J195" s="12">
        <f>((cloudSense[[#This Row],[allocated_cost]]-cloudSense[[#This Row],[actual_used_cost]])/cloudSense[[#This Row],[allocated_cost]]*100)*0.01</f>
        <v>1.4285714285714286E-3</v>
      </c>
      <c r="K195" s="13">
        <f>IF('cloudSense'!E195="",AVERAGE('cloudSense'!$E$2:$E$201),'cloudSense'!E195)</f>
        <v>98</v>
      </c>
    </row>
    <row r="196" spans="1:11" x14ac:dyDescent="0.3">
      <c r="A196" s="10">
        <v>195</v>
      </c>
      <c r="B196" s="11">
        <v>45755</v>
      </c>
      <c r="C196" s="4">
        <v>178</v>
      </c>
      <c r="D196" s="4">
        <v>500</v>
      </c>
      <c r="E196" s="4">
        <v>310</v>
      </c>
      <c r="F196" s="4" t="s">
        <v>9</v>
      </c>
      <c r="G196" s="4" t="s">
        <v>10</v>
      </c>
      <c r="H196" s="4" t="str">
        <f>PROPER(TRIM(cloudSense[[#This Row],[resource_status]]))</f>
        <v>Active</v>
      </c>
      <c r="I196" s="4">
        <f>cloudSense[[#This Row],[allocated_cost]]-cloudSense[[#This Row],[actual_used_cost]]</f>
        <v>190</v>
      </c>
      <c r="J196" s="12">
        <f>((cloudSense[[#This Row],[allocated_cost]]-cloudSense[[#This Row],[actual_used_cost]])/cloudSense[[#This Row],[allocated_cost]]*100)*0.01</f>
        <v>0.38</v>
      </c>
      <c r="K196" s="13">
        <f>IF('cloudSense'!E196="",AVERAGE('cloudSense'!$E$2:$E$201),'cloudSense'!E196)</f>
        <v>38</v>
      </c>
    </row>
    <row r="197" spans="1:11" x14ac:dyDescent="0.3">
      <c r="A197" s="10">
        <v>196</v>
      </c>
      <c r="B197" s="11">
        <v>45755</v>
      </c>
      <c r="C197" s="4">
        <v>298</v>
      </c>
      <c r="D197" s="4">
        <v>600</v>
      </c>
      <c r="E197" s="4">
        <v>415</v>
      </c>
      <c r="F197" s="4" t="s">
        <v>17</v>
      </c>
      <c r="G197" s="4" t="s">
        <v>18</v>
      </c>
      <c r="H197" s="4" t="str">
        <f>PROPER(TRIM(cloudSense[[#This Row],[resource_status]]))</f>
        <v>Idle</v>
      </c>
      <c r="I197" s="4">
        <f>cloudSense[[#This Row],[allocated_cost]]-cloudSense[[#This Row],[actual_used_cost]]</f>
        <v>185</v>
      </c>
      <c r="J197" s="12">
        <f>((cloudSense[[#This Row],[allocated_cost]]-cloudSense[[#This Row],[actual_used_cost]])/cloudSense[[#This Row],[allocated_cost]]*100)*0.01</f>
        <v>0.30833333333333335</v>
      </c>
      <c r="K197" s="13">
        <f>IF('cloudSense'!E197="",AVERAGE('cloudSense'!$E$2:$E$201),'cloudSense'!E197)</f>
        <v>47.111111111111114</v>
      </c>
    </row>
    <row r="198" spans="1:11" x14ac:dyDescent="0.3">
      <c r="A198" s="10">
        <v>197</v>
      </c>
      <c r="B198" s="11">
        <v>45756</v>
      </c>
      <c r="C198" s="4">
        <v>32</v>
      </c>
      <c r="D198" s="4">
        <v>200</v>
      </c>
      <c r="E198" s="4">
        <v>60</v>
      </c>
      <c r="F198" s="4" t="s">
        <v>28</v>
      </c>
      <c r="G198" s="4" t="s">
        <v>20</v>
      </c>
      <c r="H198" s="4" t="str">
        <f>PROPER(TRIM(cloudSense[[#This Row],[resource_status]]))</f>
        <v>Idle</v>
      </c>
      <c r="I198" s="4">
        <f>cloudSense[[#This Row],[allocated_cost]]-cloudSense[[#This Row],[actual_used_cost]]</f>
        <v>140</v>
      </c>
      <c r="J198" s="12">
        <f>((cloudSense[[#This Row],[allocated_cost]]-cloudSense[[#This Row],[actual_used_cost]])/cloudSense[[#This Row],[allocated_cost]]*100)*0.01</f>
        <v>0.70000000000000007</v>
      </c>
      <c r="K198" s="13">
        <f>IF('cloudSense'!E198="",AVERAGE('cloudSense'!$E$2:$E$201),'cloudSense'!E198)</f>
        <v>6</v>
      </c>
    </row>
    <row r="199" spans="1:11" x14ac:dyDescent="0.3">
      <c r="A199" s="10">
        <v>198</v>
      </c>
      <c r="B199" s="11">
        <v>45756</v>
      </c>
      <c r="C199" s="4">
        <v>595</v>
      </c>
      <c r="D199" s="4">
        <v>700</v>
      </c>
      <c r="E199" s="4">
        <v>700</v>
      </c>
      <c r="F199" s="4" t="s">
        <v>12</v>
      </c>
      <c r="G199" s="4" t="s">
        <v>13</v>
      </c>
      <c r="H199" s="4" t="str">
        <f>PROPER(TRIM(cloudSense[[#This Row],[resource_status]]))</f>
        <v>Active</v>
      </c>
      <c r="I199" s="4">
        <f>cloudSense[[#This Row],[allocated_cost]]-cloudSense[[#This Row],[actual_used_cost]]</f>
        <v>0</v>
      </c>
      <c r="J199" s="12">
        <f>((cloudSense[[#This Row],[allocated_cost]]-cloudSense[[#This Row],[actual_used_cost]])/cloudSense[[#This Row],[allocated_cost]]*100)*0.01</f>
        <v>0</v>
      </c>
      <c r="K199" s="13">
        <f>IF('cloudSense'!E199="",AVERAGE('cloudSense'!$E$2:$E$201),'cloudSense'!E199)</f>
        <v>99</v>
      </c>
    </row>
    <row r="200" spans="1:11" x14ac:dyDescent="0.3">
      <c r="A200" s="10">
        <v>199</v>
      </c>
      <c r="B200" s="11">
        <v>45757</v>
      </c>
      <c r="C200" s="4">
        <v>125</v>
      </c>
      <c r="D200" s="4">
        <v>500</v>
      </c>
      <c r="E200" s="4">
        <v>205</v>
      </c>
      <c r="F200" s="4" t="s">
        <v>9</v>
      </c>
      <c r="G200" s="4" t="s">
        <v>10</v>
      </c>
      <c r="H200" s="4" t="str">
        <f>PROPER(TRIM(cloudSense[[#This Row],[resource_status]]))</f>
        <v>Idle</v>
      </c>
      <c r="I200" s="4">
        <f>cloudSense[[#This Row],[allocated_cost]]-cloudSense[[#This Row],[actual_used_cost]]</f>
        <v>295</v>
      </c>
      <c r="J200" s="12">
        <f>((cloudSense[[#This Row],[allocated_cost]]-cloudSense[[#This Row],[actual_used_cost]])/cloudSense[[#This Row],[allocated_cost]]*100)*0.01</f>
        <v>0.59</v>
      </c>
      <c r="K200" s="13">
        <f>IF('cloudSense'!E200="",AVERAGE('cloudSense'!$E$2:$E$201),'cloudSense'!E200)</f>
        <v>23</v>
      </c>
    </row>
    <row r="201" spans="1:11" x14ac:dyDescent="0.3">
      <c r="A201" s="14">
        <v>200</v>
      </c>
      <c r="B201" s="15">
        <v>45757</v>
      </c>
      <c r="C201" s="16">
        <v>335</v>
      </c>
      <c r="D201" s="16">
        <v>600</v>
      </c>
      <c r="E201" s="16">
        <v>595</v>
      </c>
      <c r="F201" s="16" t="s">
        <v>17</v>
      </c>
      <c r="G201" s="16" t="s">
        <v>18</v>
      </c>
      <c r="H201" s="16" t="str">
        <f>PROPER(TRIM(cloudSense[[#This Row],[resource_status]]))</f>
        <v>Active</v>
      </c>
      <c r="I201" s="16">
        <f>cloudSense[[#This Row],[allocated_cost]]-cloudSense[[#This Row],[actual_used_cost]]</f>
        <v>5</v>
      </c>
      <c r="J201" s="17">
        <f>((cloudSense[[#This Row],[allocated_cost]]-cloudSense[[#This Row],[actual_used_cost]])/cloudSense[[#This Row],[allocated_cost]]*100)*0.01</f>
        <v>8.3333333333333332E-3</v>
      </c>
      <c r="K201" s="18">
        <f>IF('cloudSense'!E201="",AVERAGE('cloudSense'!$E$2:$E$201),'cloudSense'!E201)</f>
        <v>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C8B7BA-E60D-4CD5-AB4B-A0A205290A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cloudSense</vt:lpstr>
      <vt:lpstr>Sheet1</vt:lpstr>
      <vt:lpstr>Cloud_Sense_Clean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 Ganoskar</dc:creator>
  <cp:lastModifiedBy>Vinit Ganoskar</cp:lastModifiedBy>
  <dcterms:created xsi:type="dcterms:W3CDTF">2026-03-04T14:29:43Z</dcterms:created>
  <dcterms:modified xsi:type="dcterms:W3CDTF">2026-03-04T18:21:15Z</dcterms:modified>
</cp:coreProperties>
</file>